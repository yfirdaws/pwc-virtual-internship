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437192eeef83f0/Desktop/pwc virtual internship/"/>
    </mc:Choice>
  </mc:AlternateContent>
  <xr:revisionPtr revIDLastSave="13" documentId="13_ncr:40009_{2D191116-7B97-42B9-B558-A9A6517E1AA0}" xr6:coauthVersionLast="47" xr6:coauthVersionMax="47" xr10:uidLastSave="{14A8EDE0-01CE-453C-8F83-ACE66BC91A5E}"/>
  <bookViews>
    <workbookView xWindow="-108" yWindow="-108" windowWidth="23256" windowHeight="12576" xr2:uid="{00000000-000D-0000-FFFF-FFFF00000000}"/>
  </bookViews>
  <sheets>
    <sheet name="Pharma Group AG" sheetId="11" r:id="rId1"/>
    <sheet name="Sheet1" sheetId="13" r:id="rId2"/>
    <sheet name="Backing 1" sheetId="8" r:id="rId3"/>
    <sheet name="Backing 2" sheetId="12" r:id="rId4"/>
    <sheet name="Backing 3" sheetId="10" r:id="rId5"/>
    <sheet name="Backing 4" sheetId="9" r:id="rId6"/>
    <sheet name="Sheet2" sheetId="14" r:id="rId7"/>
  </sheets>
  <definedNames>
    <definedName name="_xlnm._FilterDatabase" localSheetId="2" hidden="1">'Backing 1'!$A$1:$M$501</definedName>
    <definedName name="_xlnm._FilterDatabase" localSheetId="0" hidden="1">'Pharma Group AG'!$A$1:$AH$1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7" i="11" l="1"/>
  <c r="X8" i="11"/>
  <c r="X21" i="11"/>
  <c r="AH381" i="11"/>
  <c r="AH312" i="11"/>
  <c r="AH57" i="11"/>
  <c r="AH100" i="11"/>
  <c r="AH443" i="11"/>
  <c r="AH134" i="11"/>
  <c r="AH65" i="11"/>
  <c r="AH21" i="11"/>
  <c r="AH474" i="11"/>
  <c r="AH114" i="11"/>
  <c r="AH433" i="11"/>
  <c r="AH32" i="11"/>
  <c r="AH495" i="11"/>
  <c r="AH437" i="11"/>
  <c r="AH367" i="11"/>
  <c r="AH236" i="11"/>
  <c r="AH318" i="11"/>
  <c r="AH199" i="11"/>
  <c r="AH112" i="11"/>
  <c r="AH43" i="11"/>
  <c r="AH321" i="11"/>
  <c r="AH401" i="11"/>
  <c r="AH39" i="11"/>
  <c r="AH84" i="11"/>
  <c r="AH26" i="11"/>
  <c r="AH229" i="11"/>
  <c r="AH217" i="11"/>
  <c r="AH3" i="11"/>
  <c r="AH485" i="11"/>
  <c r="AH45" i="11"/>
  <c r="AH215" i="11"/>
  <c r="AH266" i="11"/>
  <c r="AH49" i="11"/>
  <c r="AH294" i="11"/>
  <c r="AH225" i="11"/>
  <c r="AH355" i="11"/>
  <c r="AH119" i="11"/>
  <c r="AH447" i="11"/>
  <c r="AH136" i="11"/>
  <c r="AH162" i="11"/>
  <c r="AH342" i="11"/>
  <c r="AH246" i="11"/>
  <c r="AH148" i="11"/>
  <c r="AH311" i="11"/>
  <c r="AH423" i="11"/>
  <c r="AH96" i="11"/>
  <c r="AH291" i="11"/>
  <c r="AH151" i="11"/>
  <c r="AH344" i="11"/>
  <c r="AH239" i="11"/>
  <c r="AH343" i="11"/>
  <c r="AH429" i="11"/>
  <c r="AH231" i="11"/>
  <c r="AH152" i="11"/>
  <c r="AH10" i="11"/>
  <c r="AH164" i="11"/>
  <c r="AH178" i="11"/>
  <c r="AH144" i="11"/>
  <c r="AH359" i="11"/>
  <c r="AH468" i="11"/>
  <c r="AH303" i="11"/>
  <c r="AH483" i="11"/>
  <c r="AH187" i="11"/>
  <c r="AH317" i="11"/>
  <c r="AH222" i="11"/>
  <c r="AH325" i="11"/>
  <c r="AH377" i="11"/>
  <c r="AH42" i="11"/>
  <c r="AH101" i="11"/>
  <c r="AH28" i="11"/>
  <c r="AH56" i="11"/>
  <c r="AH464" i="11"/>
  <c r="AH4" i="11"/>
  <c r="AH328" i="11"/>
  <c r="AH388" i="11"/>
  <c r="AH368" i="11"/>
  <c r="AH180" i="11"/>
  <c r="AH102" i="11"/>
  <c r="AH462" i="11"/>
  <c r="AH360" i="11"/>
  <c r="AH105" i="11"/>
  <c r="AH173" i="11"/>
  <c r="AH350" i="11"/>
  <c r="AH346" i="11"/>
  <c r="AH78" i="11"/>
  <c r="AH200" i="11"/>
  <c r="AH35" i="11"/>
  <c r="AH501" i="11"/>
  <c r="AH271" i="11"/>
  <c r="AH489" i="11"/>
  <c r="AH425" i="11"/>
  <c r="AH384" i="11"/>
  <c r="AH125" i="11"/>
  <c r="AH223" i="11"/>
  <c r="AH309" i="11"/>
  <c r="AH24" i="11"/>
  <c r="AH442" i="11"/>
  <c r="AH94" i="11"/>
  <c r="AH363" i="11"/>
  <c r="AH76" i="11"/>
  <c r="AH477" i="11"/>
  <c r="AH463" i="11"/>
  <c r="AH233" i="11"/>
  <c r="AH336" i="11"/>
  <c r="AH405" i="11"/>
  <c r="AH397" i="11"/>
  <c r="AH329" i="11"/>
  <c r="AH290" i="11"/>
  <c r="AH175" i="11"/>
  <c r="AH305" i="11"/>
  <c r="AH458" i="11"/>
  <c r="AH332" i="11"/>
  <c r="AH66" i="11"/>
  <c r="AH182" i="11"/>
  <c r="AH354" i="11"/>
  <c r="AH492" i="11"/>
  <c r="AH166" i="11"/>
  <c r="AH371" i="11"/>
  <c r="AH8" i="11"/>
  <c r="AH241" i="11"/>
  <c r="AH380" i="11"/>
  <c r="AH364" i="11"/>
  <c r="AH481" i="11"/>
  <c r="AH268" i="11"/>
  <c r="AH87" i="11"/>
  <c r="AH403" i="11"/>
  <c r="AH197" i="11"/>
  <c r="AH51" i="11"/>
  <c r="AH140" i="11"/>
  <c r="AH90" i="11"/>
  <c r="AH209" i="11"/>
  <c r="AH121" i="11"/>
  <c r="AH292" i="11"/>
  <c r="AH13" i="11"/>
  <c r="AH270" i="11"/>
  <c r="AH408" i="11"/>
  <c r="AH230" i="11"/>
  <c r="AH5" i="11"/>
  <c r="AH358" i="11"/>
  <c r="AH224" i="11"/>
  <c r="AH487" i="11"/>
  <c r="AH452" i="11"/>
  <c r="AH436" i="11"/>
  <c r="AH455" i="11"/>
  <c r="AH253" i="11"/>
  <c r="AH370" i="11"/>
  <c r="AH219" i="11"/>
  <c r="AH156" i="11"/>
  <c r="AH260" i="11"/>
  <c r="AH288" i="11"/>
  <c r="AH71" i="11"/>
  <c r="AH52" i="11"/>
  <c r="AH466" i="11"/>
  <c r="AH195" i="11"/>
  <c r="AH103" i="11"/>
  <c r="AH453" i="11"/>
  <c r="AH95" i="11"/>
  <c r="AH398" i="11"/>
  <c r="AH193" i="11"/>
  <c r="AH238" i="11"/>
  <c r="AH476" i="11"/>
  <c r="AH33" i="11"/>
  <c r="AH307" i="11"/>
  <c r="AH184" i="11"/>
  <c r="AH471" i="11"/>
  <c r="AH394" i="11"/>
  <c r="AH68" i="11"/>
  <c r="AH500" i="11"/>
  <c r="AH393" i="11"/>
  <c r="AH375" i="11"/>
  <c r="AH190" i="11"/>
  <c r="AH427" i="11"/>
  <c r="AH111" i="11"/>
  <c r="AH232" i="11"/>
  <c r="AH486" i="11"/>
  <c r="AH176" i="11"/>
  <c r="AH302" i="11"/>
  <c r="AH206" i="11"/>
  <c r="AH74" i="11"/>
  <c r="AH469" i="11"/>
  <c r="AH287" i="11"/>
  <c r="AH135" i="11"/>
  <c r="AH430" i="11"/>
  <c r="AH415" i="11"/>
  <c r="AH324" i="11"/>
  <c r="AH306" i="11"/>
  <c r="AH351" i="11"/>
  <c r="AH314" i="11"/>
  <c r="AH183" i="11"/>
  <c r="AH335" i="11"/>
  <c r="AH382" i="11"/>
  <c r="AH86" i="11"/>
  <c r="AH62" i="11"/>
  <c r="AH416" i="11"/>
  <c r="AH273" i="11"/>
  <c r="AH212" i="11"/>
  <c r="AH348" i="11"/>
  <c r="AH9" i="11"/>
  <c r="AH263" i="11"/>
  <c r="AH226" i="11"/>
  <c r="AH252" i="11"/>
  <c r="AH392" i="11"/>
  <c r="AH6" i="11"/>
  <c r="AH310" i="11"/>
  <c r="AH208" i="11"/>
  <c r="AH296" i="11"/>
  <c r="AH499" i="11"/>
  <c r="AH456" i="11"/>
  <c r="AH438" i="11"/>
  <c r="AH240" i="11"/>
  <c r="AH81" i="11"/>
  <c r="AH207" i="11"/>
  <c r="AH109" i="11"/>
  <c r="AH203" i="11"/>
  <c r="AH12" i="11"/>
  <c r="AH163" i="11"/>
  <c r="AH424" i="11"/>
  <c r="AH40" i="11"/>
  <c r="AH220" i="11"/>
  <c r="AH390" i="11"/>
  <c r="AH399" i="11"/>
  <c r="AH282" i="11"/>
  <c r="AH186" i="11"/>
  <c r="AH165" i="11"/>
  <c r="AH213" i="11"/>
  <c r="AH465" i="11"/>
  <c r="AH385" i="11"/>
  <c r="AH19" i="11"/>
  <c r="AH264" i="11"/>
  <c r="AH54" i="11"/>
  <c r="AH177" i="11"/>
  <c r="AH99" i="11"/>
  <c r="AH115" i="11"/>
  <c r="AH349" i="11"/>
  <c r="AH293" i="11"/>
  <c r="AH227" i="11"/>
  <c r="AH419" i="11"/>
  <c r="AH491" i="11"/>
  <c r="AH330" i="11"/>
  <c r="AH64" i="11"/>
  <c r="AH411" i="11"/>
  <c r="AH428" i="11"/>
  <c r="AH38" i="11"/>
  <c r="AH347" i="11"/>
  <c r="AH337" i="11"/>
  <c r="AH211" i="11"/>
  <c r="AH91" i="11"/>
  <c r="AH132" i="11"/>
  <c r="AH53" i="11"/>
  <c r="AH168" i="11"/>
  <c r="AH237" i="11"/>
  <c r="AH454" i="11"/>
  <c r="AH41" i="11"/>
  <c r="AH435" i="11"/>
  <c r="AH322" i="11"/>
  <c r="AH89" i="11"/>
  <c r="AH265" i="11"/>
  <c r="AH410" i="11"/>
  <c r="AH210" i="11"/>
  <c r="AH138" i="11"/>
  <c r="AH128" i="11"/>
  <c r="AH228" i="11"/>
  <c r="AH389" i="11"/>
  <c r="AH331" i="11"/>
  <c r="AH434" i="11"/>
  <c r="AH244" i="11"/>
  <c r="AH188" i="11"/>
  <c r="AH110" i="11"/>
  <c r="AH153" i="11"/>
  <c r="AH315" i="11"/>
  <c r="AH449" i="11"/>
  <c r="AH31" i="11"/>
  <c r="AH97" i="11"/>
  <c r="AH29" i="11"/>
  <c r="AH72" i="11"/>
  <c r="AH48" i="11"/>
  <c r="AH440" i="11"/>
  <c r="AH181" i="11"/>
  <c r="AH93" i="11"/>
  <c r="AH280" i="11"/>
  <c r="AH445" i="11"/>
  <c r="AH234" i="11"/>
  <c r="AH130" i="11"/>
  <c r="AH369" i="11"/>
  <c r="AH116" i="11"/>
  <c r="AH475" i="11"/>
  <c r="AH286" i="11"/>
  <c r="AH277" i="11"/>
  <c r="AH172" i="11"/>
  <c r="AH247" i="11"/>
  <c r="AH127" i="11"/>
  <c r="AH23" i="11"/>
  <c r="AH400" i="11"/>
  <c r="AH482" i="11"/>
  <c r="AH18" i="11"/>
  <c r="AH37" i="11"/>
  <c r="AH480" i="11"/>
  <c r="AH46" i="11"/>
  <c r="AH319" i="11"/>
  <c r="AH373" i="11"/>
  <c r="AH20" i="11"/>
  <c r="AH406" i="11"/>
  <c r="AH362" i="11"/>
  <c r="AH275" i="11"/>
  <c r="AH488" i="11"/>
  <c r="AH59" i="11"/>
  <c r="AH333" i="11"/>
  <c r="AH426" i="11"/>
  <c r="AH58" i="11"/>
  <c r="AH216" i="11"/>
  <c r="AH417" i="11"/>
  <c r="AH204" i="11"/>
  <c r="AH170" i="11"/>
  <c r="AH250" i="11"/>
  <c r="AH221" i="11"/>
  <c r="AH258" i="11"/>
  <c r="AH283" i="11"/>
  <c r="AH218" i="11"/>
  <c r="AH83" i="11"/>
  <c r="AH158" i="11"/>
  <c r="AH85" i="11"/>
  <c r="AH493" i="11"/>
  <c r="AH391" i="11"/>
  <c r="AH214" i="11"/>
  <c r="AH36" i="11"/>
  <c r="AH279" i="11"/>
  <c r="AH446" i="11"/>
  <c r="AH248" i="11"/>
  <c r="AH34" i="11"/>
  <c r="AH340" i="11"/>
  <c r="AH316" i="11"/>
  <c r="AH418" i="11"/>
  <c r="AH174" i="11"/>
  <c r="AH372" i="11"/>
  <c r="AH235" i="11"/>
  <c r="AH431" i="11"/>
  <c r="AH75" i="11"/>
  <c r="AH412" i="11"/>
  <c r="AH107" i="11"/>
  <c r="AH61" i="11"/>
  <c r="AH27" i="11"/>
  <c r="AH300" i="11"/>
  <c r="AH289" i="11"/>
  <c r="AH422" i="11"/>
  <c r="AH150" i="11"/>
  <c r="AH122" i="11"/>
  <c r="AH441" i="11"/>
  <c r="AH131" i="11"/>
  <c r="AH366" i="11"/>
  <c r="AH185" i="11"/>
  <c r="AH461" i="11"/>
  <c r="AH439" i="11"/>
  <c r="AH407" i="11"/>
  <c r="AH146" i="11"/>
  <c r="AH120" i="11"/>
  <c r="AH242" i="11"/>
  <c r="AH365" i="11"/>
  <c r="AH11" i="11"/>
  <c r="AH421" i="11"/>
  <c r="AH202" i="11"/>
  <c r="AH249" i="11"/>
  <c r="AH7" i="11"/>
  <c r="AH77" i="11"/>
  <c r="AH25" i="11"/>
  <c r="AH467" i="11"/>
  <c r="AH191" i="11"/>
  <c r="AH281" i="11"/>
  <c r="AH383" i="11"/>
  <c r="AH297" i="11"/>
  <c r="AH409" i="11"/>
  <c r="AH450" i="11"/>
  <c r="AH73" i="11"/>
  <c r="AH147" i="11"/>
  <c r="AH88" i="11"/>
  <c r="AH262" i="11"/>
  <c r="AH420" i="11"/>
  <c r="AH339" i="11"/>
  <c r="AH301" i="11"/>
  <c r="AH378" i="11"/>
  <c r="AH198" i="11"/>
  <c r="AH357" i="11"/>
  <c r="AH338" i="11"/>
  <c r="AH313" i="11"/>
  <c r="AH496" i="11"/>
  <c r="AH149" i="11"/>
  <c r="AH60" i="11"/>
  <c r="AH106" i="11"/>
  <c r="AH159" i="11"/>
  <c r="AH254" i="11"/>
  <c r="AH192" i="11"/>
  <c r="AH413" i="11"/>
  <c r="AH142" i="11"/>
  <c r="AH50" i="11"/>
  <c r="AH154" i="11"/>
  <c r="AH17" i="11"/>
  <c r="AH396" i="11"/>
  <c r="AH387" i="11"/>
  <c r="AH284" i="11"/>
  <c r="AH82" i="11"/>
  <c r="AH267" i="11"/>
  <c r="AH304" i="11"/>
  <c r="AH30" i="11"/>
  <c r="AH448" i="11"/>
  <c r="AH55" i="11"/>
  <c r="AH161" i="11"/>
  <c r="AH459" i="11"/>
  <c r="AH47" i="11"/>
  <c r="AH272" i="11"/>
  <c r="AH117" i="11"/>
  <c r="AH79" i="11"/>
  <c r="AH473" i="11"/>
  <c r="AH201" i="11"/>
  <c r="AH2" i="11"/>
  <c r="AH69" i="11"/>
  <c r="AH259" i="11"/>
  <c r="AH255" i="11"/>
  <c r="AH16" i="11"/>
  <c r="AH276" i="11"/>
  <c r="AH299" i="11"/>
  <c r="AH490" i="11"/>
  <c r="AH143" i="11"/>
  <c r="AH334" i="11"/>
  <c r="AH157" i="11"/>
  <c r="AH63" i="11"/>
  <c r="AH308" i="11"/>
  <c r="AH479" i="11"/>
  <c r="AH257" i="11"/>
  <c r="AH70" i="11"/>
  <c r="AH341" i="11"/>
  <c r="AH460" i="11"/>
  <c r="AH484" i="11"/>
  <c r="AH145" i="11"/>
  <c r="AH298" i="11"/>
  <c r="AH245" i="11"/>
  <c r="AH352" i="11"/>
  <c r="AH22" i="11"/>
  <c r="AH432" i="11"/>
  <c r="AH361" i="11"/>
  <c r="AH167" i="11"/>
  <c r="AH44" i="11"/>
  <c r="AH494" i="11"/>
  <c r="AH196" i="11"/>
  <c r="AH402" i="11"/>
  <c r="AH92" i="11"/>
  <c r="AH126" i="11"/>
  <c r="AH118" i="11"/>
  <c r="AH123" i="11"/>
  <c r="AH404" i="11"/>
  <c r="AH285" i="11"/>
  <c r="AH171" i="11"/>
  <c r="AH295" i="11"/>
  <c r="AH251" i="11"/>
  <c r="AH104" i="11"/>
  <c r="AH457" i="11"/>
  <c r="AH379" i="11"/>
  <c r="AH141" i="11"/>
  <c r="AH189" i="11"/>
  <c r="AH356" i="11"/>
  <c r="AH414" i="11"/>
  <c r="AH395" i="11"/>
  <c r="AH160" i="11"/>
  <c r="AH98" i="11"/>
  <c r="AH108" i="11"/>
  <c r="AH374" i="11"/>
  <c r="AH243" i="11"/>
  <c r="AH137" i="11"/>
  <c r="AH323" i="11"/>
  <c r="AH478" i="11"/>
  <c r="AH179" i="11"/>
  <c r="AH451" i="11"/>
  <c r="AH326" i="11"/>
  <c r="AH14" i="11"/>
  <c r="AH15" i="11"/>
  <c r="AH113" i="11"/>
  <c r="AH169" i="11"/>
  <c r="AH205" i="11"/>
  <c r="AH256" i="11"/>
  <c r="AH498" i="11"/>
  <c r="AH129" i="11"/>
  <c r="AH345" i="11"/>
  <c r="AH353" i="11"/>
  <c r="AH327" i="11"/>
  <c r="AH320" i="11"/>
  <c r="AH155" i="11"/>
  <c r="AH194" i="11"/>
  <c r="AH80" i="11"/>
  <c r="AH386" i="11"/>
  <c r="AH444" i="11"/>
  <c r="AH497" i="11"/>
  <c r="AH274" i="11"/>
  <c r="AH470" i="11"/>
  <c r="AH139" i="11"/>
  <c r="AH269" i="11"/>
  <c r="AH67" i="11"/>
  <c r="AH472" i="11"/>
  <c r="AH124" i="11"/>
  <c r="AH133" i="11"/>
  <c r="AH261" i="11"/>
  <c r="AH278" i="11"/>
  <c r="AH376" i="11"/>
  <c r="X63" i="11"/>
  <c r="V429" i="11"/>
  <c r="U429" i="11" s="1"/>
  <c r="V181" i="11"/>
  <c r="U181" i="11" s="1"/>
  <c r="V16" i="11"/>
  <c r="U16" i="11" s="1"/>
  <c r="V46" i="11"/>
  <c r="U46" i="11" s="1"/>
  <c r="V86" i="11"/>
  <c r="U86" i="11" s="1"/>
  <c r="V157" i="11"/>
  <c r="U157" i="11" s="1"/>
  <c r="V183" i="11"/>
  <c r="U183" i="11" s="1"/>
  <c r="V243" i="11"/>
  <c r="U243" i="11" s="1"/>
  <c r="V440" i="11"/>
  <c r="U440" i="11" s="1"/>
  <c r="V2" i="11"/>
  <c r="U2" i="11" s="1"/>
  <c r="V61" i="11"/>
  <c r="U61" i="11" s="1"/>
  <c r="V63" i="11"/>
  <c r="U63" i="11" s="1"/>
  <c r="V95" i="11"/>
  <c r="U95" i="11" s="1"/>
  <c r="V96" i="11"/>
  <c r="U96" i="11" s="1"/>
  <c r="V122" i="11"/>
  <c r="U122" i="11" s="1"/>
  <c r="V144" i="11"/>
  <c r="U144" i="11" s="1"/>
  <c r="V165" i="11"/>
  <c r="U165" i="11" s="1"/>
  <c r="V194" i="11"/>
  <c r="U194" i="11" s="1"/>
  <c r="V201" i="11"/>
  <c r="U201" i="11" s="1"/>
  <c r="V231" i="11"/>
  <c r="U231" i="11" s="1"/>
  <c r="V246" i="11"/>
  <c r="U246" i="11" s="1"/>
  <c r="V251" i="11"/>
  <c r="U251" i="11" s="1"/>
  <c r="V276" i="11"/>
  <c r="U276" i="11" s="1"/>
  <c r="V331" i="11"/>
  <c r="U331" i="11" s="1"/>
  <c r="V351" i="11"/>
  <c r="U351" i="11" s="1"/>
  <c r="V480" i="11"/>
  <c r="U480" i="11" s="1"/>
  <c r="V484" i="11"/>
  <c r="U484" i="11" s="1"/>
  <c r="V487" i="11"/>
  <c r="U487" i="11" s="1"/>
  <c r="V23" i="11"/>
  <c r="U23" i="11" s="1"/>
  <c r="V192" i="11"/>
  <c r="U192" i="11" s="1"/>
  <c r="V199" i="11"/>
  <c r="U199" i="11" s="1"/>
  <c r="V228" i="11"/>
  <c r="U228" i="11" s="1"/>
  <c r="V247" i="11"/>
  <c r="U247" i="11" s="1"/>
  <c r="V310" i="11"/>
  <c r="U310" i="11" s="1"/>
  <c r="V384" i="11"/>
  <c r="U384" i="11" s="1"/>
  <c r="V22" i="11"/>
  <c r="U22" i="11" s="1"/>
  <c r="V469" i="11"/>
  <c r="U469" i="11" s="1"/>
  <c r="V128" i="11"/>
  <c r="U128" i="11" s="1"/>
  <c r="V344" i="11"/>
  <c r="U344" i="11" s="1"/>
  <c r="V88" i="11"/>
  <c r="U88" i="11" s="1"/>
  <c r="V281" i="11"/>
  <c r="U281" i="11" s="1"/>
  <c r="V317" i="11"/>
  <c r="U317" i="11" s="1"/>
  <c r="V456" i="11"/>
  <c r="U456" i="11" s="1"/>
  <c r="V129" i="11"/>
  <c r="U129" i="11" s="1"/>
  <c r="V145" i="11"/>
  <c r="U145" i="11" s="1"/>
  <c r="V258" i="11"/>
  <c r="U258" i="11" s="1"/>
  <c r="V422" i="11"/>
  <c r="V468" i="11"/>
  <c r="V364" i="11"/>
  <c r="U364" i="11" s="1"/>
  <c r="V405" i="11"/>
  <c r="U405" i="11" s="1"/>
  <c r="V406" i="11"/>
  <c r="U406" i="11" s="1"/>
  <c r="V426" i="11"/>
  <c r="U426" i="11" s="1"/>
  <c r="V428" i="11"/>
  <c r="U428" i="11" s="1"/>
  <c r="V223" i="11"/>
  <c r="V485" i="11"/>
  <c r="U485" i="11" s="1"/>
  <c r="V263" i="11"/>
  <c r="V153" i="11"/>
  <c r="V214" i="11"/>
  <c r="V24" i="11"/>
  <c r="V208" i="11"/>
  <c r="V168" i="11"/>
  <c r="U168" i="11" s="1"/>
  <c r="V283" i="11"/>
  <c r="V325" i="11"/>
  <c r="U325" i="11" s="1"/>
  <c r="V408" i="11"/>
  <c r="V414" i="11"/>
  <c r="V478" i="11"/>
  <c r="V68" i="11"/>
  <c r="V74" i="11"/>
  <c r="V82" i="11"/>
  <c r="V99" i="11"/>
  <c r="V175" i="11"/>
  <c r="V193" i="11"/>
  <c r="V244" i="11"/>
  <c r="V273" i="11"/>
  <c r="V434" i="11"/>
  <c r="V439" i="11"/>
  <c r="V138" i="11"/>
  <c r="U138" i="11" s="1"/>
  <c r="V65" i="11"/>
  <c r="V66" i="11"/>
  <c r="V94" i="11"/>
  <c r="V107" i="11"/>
  <c r="V386" i="11"/>
  <c r="U386" i="11" s="1"/>
  <c r="V327" i="11"/>
  <c r="V447" i="11"/>
  <c r="V454" i="11"/>
  <c r="V493" i="11"/>
  <c r="V4" i="11"/>
  <c r="V114" i="11"/>
  <c r="V338" i="11"/>
  <c r="V232" i="11"/>
  <c r="U232" i="11" s="1"/>
  <c r="V491" i="11"/>
  <c r="U491" i="11" s="1"/>
  <c r="V500" i="11"/>
  <c r="U500" i="11" s="1"/>
  <c r="V173" i="11"/>
  <c r="U173" i="11" s="1"/>
  <c r="V436" i="11"/>
  <c r="U436" i="11" s="1"/>
  <c r="V90" i="11"/>
  <c r="U90" i="11" s="1"/>
  <c r="V101" i="11"/>
  <c r="U101" i="11" s="1"/>
  <c r="V177" i="11"/>
  <c r="U177" i="11" s="1"/>
  <c r="V225" i="11"/>
  <c r="U225" i="11" s="1"/>
  <c r="V230" i="11"/>
  <c r="U230" i="11" s="1"/>
  <c r="V323" i="11"/>
  <c r="U323" i="11" s="1"/>
  <c r="V362" i="11"/>
  <c r="U362" i="11" s="1"/>
  <c r="V441" i="11"/>
  <c r="U441" i="11" s="1"/>
  <c r="V77" i="11"/>
  <c r="U77" i="11" s="1"/>
  <c r="V482" i="11"/>
  <c r="U482" i="11" s="1"/>
  <c r="V8" i="11"/>
  <c r="U8" i="11" s="1"/>
  <c r="V44" i="11"/>
  <c r="U44" i="11" s="1"/>
  <c r="V109" i="11"/>
  <c r="U109" i="11" s="1"/>
  <c r="V126" i="11"/>
  <c r="U126" i="11" s="1"/>
  <c r="V142" i="11"/>
  <c r="U142" i="11" s="1"/>
  <c r="V143" i="11"/>
  <c r="U143" i="11" s="1"/>
  <c r="V197" i="11"/>
  <c r="U197" i="11" s="1"/>
  <c r="V220" i="11"/>
  <c r="U220" i="11" s="1"/>
  <c r="V151" i="11"/>
  <c r="U151" i="11" s="1"/>
  <c r="V299" i="11"/>
  <c r="U299" i="11" s="1"/>
  <c r="V463" i="11"/>
  <c r="U463" i="11" s="1"/>
  <c r="V305" i="11"/>
  <c r="U305" i="11" s="1"/>
  <c r="V319" i="11"/>
  <c r="U319" i="11" s="1"/>
  <c r="V322" i="11"/>
  <c r="U322" i="11"/>
  <c r="V348" i="11"/>
  <c r="U348" i="11" s="1"/>
  <c r="V393" i="11"/>
  <c r="U393" i="11" s="1"/>
  <c r="V407" i="11"/>
  <c r="U407" i="11" s="1"/>
  <c r="V418" i="11"/>
  <c r="U418" i="11" s="1"/>
  <c r="V430" i="11"/>
  <c r="U430" i="11" s="1"/>
  <c r="V449" i="11"/>
  <c r="U449" i="11" s="1"/>
  <c r="V216" i="11"/>
  <c r="U216" i="11"/>
  <c r="V483" i="11"/>
  <c r="U483" i="11" s="1"/>
  <c r="V501" i="11"/>
  <c r="U501" i="11" s="1"/>
  <c r="V37" i="11"/>
  <c r="U37" i="11" s="1"/>
  <c r="V67" i="11"/>
  <c r="U67" i="11" s="1"/>
  <c r="V78" i="11"/>
  <c r="U78" i="11" s="1"/>
  <c r="V119" i="11"/>
  <c r="U119" i="11" s="1"/>
  <c r="V123" i="11"/>
  <c r="U123" i="11" s="1"/>
  <c r="V141" i="11"/>
  <c r="U141" i="11" s="1"/>
  <c r="V154" i="11"/>
  <c r="U154" i="11" s="1"/>
  <c r="V160" i="11"/>
  <c r="U160" i="11" s="1"/>
  <c r="V161" i="11"/>
  <c r="U161" i="11" s="1"/>
  <c r="V206" i="11"/>
  <c r="U206" i="11" s="1"/>
  <c r="V245" i="11"/>
  <c r="U245" i="11" s="1"/>
  <c r="V279" i="11"/>
  <c r="U279" i="11" s="1"/>
  <c r="V494" i="11"/>
  <c r="U494" i="11" s="1"/>
  <c r="V373" i="11"/>
  <c r="U373" i="11" s="1"/>
  <c r="V377" i="11"/>
  <c r="U377" i="11" s="1"/>
  <c r="V33" i="11"/>
  <c r="U33" i="11" s="1"/>
  <c r="V459" i="11"/>
  <c r="U459" i="11" s="1"/>
  <c r="V466" i="11"/>
  <c r="U466" i="11" s="1"/>
  <c r="V481" i="11"/>
  <c r="U481" i="11" s="1"/>
  <c r="V417" i="11"/>
  <c r="U417" i="11" s="1"/>
  <c r="V164" i="11"/>
  <c r="U164" i="11" s="1"/>
  <c r="V176" i="11"/>
  <c r="U176" i="11" s="1"/>
  <c r="V207" i="11"/>
  <c r="U207" i="11" s="1"/>
  <c r="V343" i="11"/>
  <c r="U343" i="11" s="1"/>
  <c r="V5" i="11"/>
  <c r="U5" i="11" s="1"/>
  <c r="V48" i="11"/>
  <c r="U48" i="11" s="1"/>
  <c r="V98" i="11"/>
  <c r="U98" i="11" s="1"/>
  <c r="V262" i="11"/>
  <c r="U262" i="11" s="1"/>
  <c r="V7" i="11"/>
  <c r="U7" i="11" s="1"/>
  <c r="V118" i="11"/>
  <c r="U118" i="11" s="1"/>
  <c r="V203" i="11"/>
  <c r="U203" i="11" s="1"/>
  <c r="V236" i="11"/>
  <c r="U236" i="11" s="1"/>
  <c r="V242" i="11"/>
  <c r="U242" i="11" s="1"/>
  <c r="V229" i="11"/>
  <c r="U229" i="11" s="1"/>
  <c r="V347" i="11"/>
  <c r="U347" i="11" s="1"/>
  <c r="V35" i="11"/>
  <c r="U35" i="11" s="1"/>
  <c r="V375" i="11"/>
  <c r="U375" i="11" s="1"/>
  <c r="V392" i="11"/>
  <c r="U392" i="11" s="1"/>
  <c r="V435" i="11"/>
  <c r="U435" i="11" s="1"/>
  <c r="V438" i="11"/>
  <c r="U438" i="11" s="1"/>
  <c r="V446" i="11"/>
  <c r="U446" i="11" s="1"/>
  <c r="V488" i="11"/>
  <c r="U488" i="11" s="1"/>
  <c r="V12" i="11"/>
  <c r="U12" i="11" s="1"/>
  <c r="V26" i="11"/>
  <c r="U26" i="11" s="1"/>
  <c r="V345" i="11"/>
  <c r="U345" i="11" s="1"/>
  <c r="V59" i="11"/>
  <c r="U59" i="11" s="1"/>
  <c r="V72" i="11"/>
  <c r="U72" i="11" s="1"/>
  <c r="V92" i="11"/>
  <c r="U92" i="11" s="1"/>
  <c r="V103" i="11"/>
  <c r="U103" i="11" s="1"/>
  <c r="V134" i="11"/>
  <c r="U134" i="11" s="1"/>
  <c r="V148" i="11"/>
  <c r="U148" i="11" s="1"/>
  <c r="V162" i="11"/>
  <c r="U162" i="11" s="1"/>
  <c r="V178" i="11"/>
  <c r="U178" i="11" s="1"/>
  <c r="V249" i="11"/>
  <c r="U249" i="11" s="1"/>
  <c r="V266" i="11"/>
  <c r="U266" i="11" s="1"/>
  <c r="V287" i="11"/>
  <c r="U287" i="11" s="1"/>
  <c r="V455" i="11"/>
  <c r="U455" i="11" s="1"/>
  <c r="V295" i="11"/>
  <c r="U295" i="11" s="1"/>
  <c r="V301" i="11"/>
  <c r="U301" i="11" s="1"/>
  <c r="V304" i="11"/>
  <c r="U304" i="11" s="1"/>
  <c r="V311" i="11"/>
  <c r="U311" i="11" s="1"/>
  <c r="V374" i="11"/>
  <c r="U374" i="11" s="1"/>
  <c r="V388" i="11"/>
  <c r="U388" i="11" s="1"/>
  <c r="V395" i="11"/>
  <c r="U395" i="11" s="1"/>
  <c r="V399" i="11"/>
  <c r="U399" i="11" s="1"/>
  <c r="V412" i="11"/>
  <c r="U412" i="11" s="1"/>
  <c r="V458" i="11"/>
  <c r="U458" i="11" s="1"/>
  <c r="V432" i="11"/>
  <c r="U432" i="11" s="1"/>
  <c r="V52" i="11"/>
  <c r="U52" i="11" s="1"/>
  <c r="V55" i="11"/>
  <c r="U55" i="11" s="1"/>
  <c r="V474" i="11"/>
  <c r="U474" i="11" s="1"/>
  <c r="V486" i="11"/>
  <c r="U486" i="11" s="1"/>
  <c r="V490" i="11"/>
  <c r="U490" i="11" s="1"/>
  <c r="V443" i="11"/>
  <c r="U443" i="11" s="1"/>
  <c r="V3" i="11"/>
  <c r="U3" i="11" s="1"/>
  <c r="V34" i="11"/>
  <c r="U34" i="11" s="1"/>
  <c r="V53" i="11"/>
  <c r="U53" i="11" s="1"/>
  <c r="V58" i="11"/>
  <c r="U58" i="11" s="1"/>
  <c r="V106" i="11"/>
  <c r="U106" i="11" s="1"/>
  <c r="V115" i="11"/>
  <c r="U115" i="11" s="1"/>
  <c r="V135" i="11"/>
  <c r="U135" i="11" s="1"/>
  <c r="V146" i="11"/>
  <c r="U146" i="11" s="1"/>
  <c r="V150" i="11"/>
  <c r="U150" i="11" s="1"/>
  <c r="V171" i="11"/>
  <c r="U171" i="11" s="1"/>
  <c r="V172" i="11"/>
  <c r="U172" i="11" s="1"/>
  <c r="V211" i="11"/>
  <c r="U211" i="11" s="1"/>
  <c r="V357" i="11"/>
  <c r="U357" i="11" s="1"/>
  <c r="V240" i="11"/>
  <c r="U240" i="11" s="1"/>
  <c r="V272" i="11"/>
  <c r="U272" i="11" s="1"/>
  <c r="V292" i="11"/>
  <c r="U292" i="11" s="1"/>
  <c r="V180" i="11"/>
  <c r="U180" i="11" s="1"/>
  <c r="V328" i="11"/>
  <c r="U328" i="11" s="1"/>
  <c r="V330" i="11"/>
  <c r="U330" i="11" s="1"/>
  <c r="V340" i="11"/>
  <c r="U340" i="11" s="1"/>
  <c r="V352" i="11"/>
  <c r="U352" i="11" s="1"/>
  <c r="V366" i="11"/>
  <c r="U366" i="11" s="1"/>
  <c r="V121" i="11"/>
  <c r="U121" i="11" s="1"/>
  <c r="V398" i="11"/>
  <c r="U398" i="11" s="1"/>
  <c r="V461" i="11"/>
  <c r="U461" i="11" s="1"/>
  <c r="V475" i="11"/>
  <c r="U475" i="11" s="1"/>
  <c r="V17" i="11"/>
  <c r="U17" i="11" s="1"/>
  <c r="V270" i="11"/>
  <c r="U270" i="11" s="1"/>
  <c r="V30" i="11"/>
  <c r="U30" i="11" s="1"/>
  <c r="V112" i="11"/>
  <c r="U112" i="11" s="1"/>
  <c r="V268" i="11"/>
  <c r="U268" i="11" s="1"/>
  <c r="V9" i="11"/>
  <c r="U9" i="11" s="1"/>
  <c r="V89" i="11"/>
  <c r="U89" i="11" s="1"/>
  <c r="V202" i="11"/>
  <c r="U202" i="11" s="1"/>
  <c r="V28" i="11"/>
  <c r="U28" i="11" s="1"/>
  <c r="V353" i="11"/>
  <c r="U353" i="11" s="1"/>
  <c r="V36" i="11"/>
  <c r="U36" i="11" s="1"/>
  <c r="V40" i="11"/>
  <c r="U40" i="11" s="1"/>
  <c r="V294" i="11"/>
  <c r="U294" i="11" s="1"/>
  <c r="V111" i="11"/>
  <c r="U111" i="11" s="1"/>
  <c r="V179" i="11"/>
  <c r="U179" i="11" s="1"/>
  <c r="V341" i="11"/>
  <c r="U341" i="11" s="1"/>
  <c r="V361" i="11"/>
  <c r="U361" i="11" s="1"/>
  <c r="V457" i="11"/>
  <c r="U457" i="11" s="1"/>
  <c r="V492" i="11"/>
  <c r="U492" i="11" s="1"/>
  <c r="V14" i="11"/>
  <c r="U14" i="11" s="1"/>
  <c r="V265" i="11"/>
  <c r="U265" i="11" s="1"/>
  <c r="V21" i="11"/>
  <c r="U21" i="11" s="1"/>
  <c r="V235" i="11"/>
  <c r="U235" i="11" s="1"/>
  <c r="V73" i="11"/>
  <c r="U73" i="11" s="1"/>
  <c r="V238" i="11"/>
  <c r="U238" i="11" s="1"/>
  <c r="V81" i="11"/>
  <c r="U81" i="11" s="1"/>
  <c r="V320" i="11"/>
  <c r="U320" i="11" s="1"/>
  <c r="V158" i="11"/>
  <c r="U158" i="11" s="1"/>
  <c r="V174" i="11"/>
  <c r="U174" i="11" s="1"/>
  <c r="V182" i="11"/>
  <c r="U182" i="11" s="1"/>
  <c r="V184" i="11"/>
  <c r="U184" i="11" s="1"/>
  <c r="V191" i="11"/>
  <c r="U191" i="11" s="1"/>
  <c r="V196" i="11"/>
  <c r="U196" i="11" s="1"/>
  <c r="V217" i="11"/>
  <c r="U217" i="11" s="1"/>
  <c r="V19" i="11"/>
  <c r="U19" i="11" s="1"/>
  <c r="V257" i="11"/>
  <c r="U257" i="11" s="1"/>
  <c r="V264" i="11"/>
  <c r="U264" i="11" s="1"/>
  <c r="V267" i="11"/>
  <c r="U267" i="11" s="1"/>
  <c r="V296" i="11"/>
  <c r="U296" i="11" s="1"/>
  <c r="V313" i="11"/>
  <c r="U313" i="11" s="1"/>
  <c r="V326" i="11"/>
  <c r="U326" i="11" s="1"/>
  <c r="V329" i="11"/>
  <c r="U329" i="11" s="1"/>
  <c r="V349" i="11"/>
  <c r="U349" i="11" s="1"/>
  <c r="V359" i="11"/>
  <c r="U359" i="11" s="1"/>
  <c r="V365" i="11"/>
  <c r="U365" i="11" s="1"/>
  <c r="V376" i="11"/>
  <c r="U376" i="11" s="1"/>
  <c r="V394" i="11"/>
  <c r="U394" i="11" s="1"/>
  <c r="V403" i="11"/>
  <c r="U403" i="11" s="1"/>
  <c r="V413" i="11"/>
  <c r="U413" i="11" s="1"/>
  <c r="V415" i="11"/>
  <c r="U415" i="11" s="1"/>
  <c r="V421" i="11"/>
  <c r="U421" i="11" s="1"/>
  <c r="V451" i="11"/>
  <c r="U451" i="11" s="1"/>
  <c r="V498" i="11"/>
  <c r="U498" i="11" s="1"/>
  <c r="V252" i="11"/>
  <c r="U252" i="11" s="1"/>
  <c r="V20" i="11"/>
  <c r="U20" i="11" s="1"/>
  <c r="V25" i="11"/>
  <c r="U25" i="11" s="1"/>
  <c r="V29" i="11"/>
  <c r="U29" i="11" s="1"/>
  <c r="V54" i="11"/>
  <c r="U54" i="11" s="1"/>
  <c r="V69" i="11"/>
  <c r="U69" i="11" s="1"/>
  <c r="V71" i="11"/>
  <c r="U71" i="11" s="1"/>
  <c r="V75" i="11"/>
  <c r="U75" i="11" s="1"/>
  <c r="V79" i="11"/>
  <c r="U79" i="11" s="1"/>
  <c r="V91" i="11"/>
  <c r="U91" i="11" s="1"/>
  <c r="V105" i="11"/>
  <c r="U105" i="11" s="1"/>
  <c r="V117" i="11"/>
  <c r="U117" i="11" s="1"/>
  <c r="V306" i="11"/>
  <c r="U306" i="11" s="1"/>
  <c r="V419" i="11"/>
  <c r="U419" i="11" s="1"/>
  <c r="V152" i="11"/>
  <c r="U152" i="11" s="1"/>
  <c r="V167" i="11"/>
  <c r="U167" i="11" s="1"/>
  <c r="V169" i="11"/>
  <c r="U169" i="11" s="1"/>
  <c r="V170" i="11"/>
  <c r="U170" i="11" s="1"/>
  <c r="V188" i="11"/>
  <c r="U188" i="11" s="1"/>
  <c r="V189" i="11"/>
  <c r="U189" i="11" s="1"/>
  <c r="V213" i="11"/>
  <c r="U213" i="11" s="1"/>
  <c r="V219" i="11"/>
  <c r="U219" i="11" s="1"/>
  <c r="V221" i="11"/>
  <c r="U221" i="11" s="1"/>
  <c r="V224" i="11"/>
  <c r="U224" i="11" s="1"/>
  <c r="V226" i="11"/>
  <c r="U226" i="11" s="1"/>
  <c r="V300" i="11"/>
  <c r="U300" i="11" s="1"/>
  <c r="V261" i="11"/>
  <c r="U261" i="11" s="1"/>
  <c r="V289" i="11"/>
  <c r="U289" i="11" s="1"/>
  <c r="V290" i="11"/>
  <c r="U290" i="11" s="1"/>
  <c r="V309" i="11"/>
  <c r="U309" i="11" s="1"/>
  <c r="V321" i="11"/>
  <c r="U321" i="11" s="1"/>
  <c r="V324" i="11"/>
  <c r="U324" i="11" s="1"/>
  <c r="V354" i="11"/>
  <c r="U354" i="11" s="1"/>
  <c r="V360" i="11"/>
  <c r="U360" i="11" s="1"/>
  <c r="V368" i="11"/>
  <c r="U368" i="11" s="1"/>
  <c r="V369" i="11"/>
  <c r="U369" i="11" s="1"/>
  <c r="V370" i="11"/>
  <c r="U370" i="11" s="1"/>
  <c r="V380" i="11"/>
  <c r="U380" i="11" s="1"/>
  <c r="V409" i="11"/>
  <c r="U409" i="11" s="1"/>
  <c r="V411" i="11"/>
  <c r="U411" i="11" s="1"/>
  <c r="V431" i="11"/>
  <c r="U431" i="11" s="1"/>
  <c r="V445" i="11"/>
  <c r="U445" i="11" s="1"/>
  <c r="V452" i="11"/>
  <c r="U452" i="11" s="1"/>
  <c r="V13" i="11"/>
  <c r="U13" i="11" s="1"/>
  <c r="V222" i="11"/>
  <c r="U222" i="11" s="1"/>
  <c r="V198" i="11"/>
  <c r="U198" i="11" s="1"/>
  <c r="V254" i="11"/>
  <c r="U254" i="11" s="1"/>
  <c r="V367" i="11"/>
  <c r="U367" i="11" s="1"/>
  <c r="V382" i="11"/>
  <c r="U382" i="11" s="1"/>
  <c r="V50" i="11"/>
  <c r="U50" i="11" s="1"/>
  <c r="V139" i="11"/>
  <c r="U139" i="11" s="1"/>
  <c r="V260" i="11"/>
  <c r="U260" i="11" s="1"/>
  <c r="V387" i="11"/>
  <c r="U387" i="11" s="1"/>
  <c r="V11" i="11"/>
  <c r="U11" i="11" s="1"/>
  <c r="V27" i="11"/>
  <c r="U27" i="11" s="1"/>
  <c r="V47" i="11"/>
  <c r="U47" i="11" s="1"/>
  <c r="V83" i="11"/>
  <c r="U83" i="11" s="1"/>
  <c r="V127" i="11"/>
  <c r="U127" i="11" s="1"/>
  <c r="V133" i="11"/>
  <c r="U133" i="11" s="1"/>
  <c r="V159" i="11"/>
  <c r="U159" i="11" s="1"/>
  <c r="V185" i="11"/>
  <c r="U185" i="11" s="1"/>
  <c r="V195" i="11"/>
  <c r="U195" i="11" s="1"/>
  <c r="V200" i="11"/>
  <c r="U200" i="11" s="1"/>
  <c r="V209" i="11"/>
  <c r="U209" i="11" s="1"/>
  <c r="V255" i="11"/>
  <c r="U255" i="11" s="1"/>
  <c r="V274" i="11"/>
  <c r="U274" i="11" s="1"/>
  <c r="V288" i="11"/>
  <c r="U288" i="11" s="1"/>
  <c r="V303" i="11"/>
  <c r="U303" i="11" s="1"/>
  <c r="V335" i="11"/>
  <c r="U335" i="11" s="1"/>
  <c r="V383" i="11"/>
  <c r="U383" i="11" s="1"/>
  <c r="V391" i="11"/>
  <c r="U391" i="11" s="1"/>
  <c r="V460" i="11"/>
  <c r="U460" i="11" s="1"/>
  <c r="V472" i="11"/>
  <c r="U472" i="11" s="1"/>
  <c r="V473" i="11"/>
  <c r="U473" i="11" s="1"/>
  <c r="V15" i="11"/>
  <c r="U15" i="11" s="1"/>
  <c r="V18" i="11"/>
  <c r="U18" i="11" s="1"/>
  <c r="V31" i="11"/>
  <c r="U31" i="11" s="1"/>
  <c r="V32" i="11"/>
  <c r="U32" i="11" s="1"/>
  <c r="V38" i="11"/>
  <c r="U38" i="11" s="1"/>
  <c r="V39" i="11"/>
  <c r="U39" i="11" s="1"/>
  <c r="V41" i="11"/>
  <c r="U41" i="11" s="1"/>
  <c r="V42" i="11"/>
  <c r="U42" i="11" s="1"/>
  <c r="V43" i="11"/>
  <c r="U43" i="11" s="1"/>
  <c r="V49" i="11"/>
  <c r="U49" i="11" s="1"/>
  <c r="V51" i="11"/>
  <c r="U51" i="11" s="1"/>
  <c r="V60" i="11"/>
  <c r="U60" i="11" s="1"/>
  <c r="V70" i="11"/>
  <c r="U70" i="11" s="1"/>
  <c r="V84" i="11"/>
  <c r="U84" i="11" s="1"/>
  <c r="V85" i="11"/>
  <c r="U85" i="11" s="1"/>
  <c r="V93" i="11"/>
  <c r="U93" i="11" s="1"/>
  <c r="V97" i="11"/>
  <c r="U97" i="11" s="1"/>
  <c r="V108" i="11"/>
  <c r="U108" i="11" s="1"/>
  <c r="V113" i="11"/>
  <c r="U113" i="11" s="1"/>
  <c r="V120" i="11"/>
  <c r="U120" i="11" s="1"/>
  <c r="V125" i="11"/>
  <c r="U125" i="11" s="1"/>
  <c r="V130" i="11"/>
  <c r="U130" i="11" s="1"/>
  <c r="V136" i="11"/>
  <c r="U136" i="11" s="1"/>
  <c r="V137" i="11"/>
  <c r="U137" i="11" s="1"/>
  <c r="V149" i="11"/>
  <c r="U149" i="11" s="1"/>
  <c r="V155" i="11"/>
  <c r="U155" i="11" s="1"/>
  <c r="V156" i="11"/>
  <c r="U156" i="11" s="1"/>
  <c r="V163" i="11"/>
  <c r="U163" i="11"/>
  <c r="V166" i="11"/>
  <c r="U166" i="11" s="1"/>
  <c r="V187" i="11"/>
  <c r="U187" i="11" s="1"/>
  <c r="V190" i="11"/>
  <c r="U190" i="11" s="1"/>
  <c r="V204" i="11"/>
  <c r="U204" i="11" s="1"/>
  <c r="V210" i="11"/>
  <c r="U210" i="11" s="1"/>
  <c r="V212" i="11"/>
  <c r="U212" i="11" s="1"/>
  <c r="V233" i="11"/>
  <c r="U233" i="11" s="1"/>
  <c r="V239" i="11"/>
  <c r="U239" i="11" s="1"/>
  <c r="V241" i="11"/>
  <c r="U241" i="11" s="1"/>
  <c r="V248" i="11"/>
  <c r="U248" i="11" s="1"/>
  <c r="V250" i="11"/>
  <c r="U250" i="11" s="1"/>
  <c r="V253" i="11"/>
  <c r="U253" i="11" s="1"/>
  <c r="V256" i="11"/>
  <c r="U256" i="11" s="1"/>
  <c r="V259" i="11"/>
  <c r="U259" i="11" s="1"/>
  <c r="V269" i="11"/>
  <c r="U269" i="11" s="1"/>
  <c r="V271" i="11"/>
  <c r="U271" i="11" s="1"/>
  <c r="V275" i="11"/>
  <c r="U275" i="11" s="1"/>
  <c r="V278" i="11"/>
  <c r="U278" i="11" s="1"/>
  <c r="V282" i="11"/>
  <c r="U282" i="11" s="1"/>
  <c r="V284" i="11"/>
  <c r="U284" i="11" s="1"/>
  <c r="V285" i="11"/>
  <c r="U285" i="11" s="1"/>
  <c r="V291" i="11"/>
  <c r="U291" i="11" s="1"/>
  <c r="V302" i="11"/>
  <c r="U302" i="11" s="1"/>
  <c r="V307" i="11"/>
  <c r="U307" i="11" s="1"/>
  <c r="V308" i="11"/>
  <c r="U308" i="11" s="1"/>
  <c r="V312" i="11"/>
  <c r="U312" i="11" s="1"/>
  <c r="V314" i="11"/>
  <c r="U314" i="11" s="1"/>
  <c r="V315" i="11"/>
  <c r="U315" i="11" s="1"/>
  <c r="V316" i="11"/>
  <c r="U316" i="11" s="1"/>
  <c r="V318" i="11"/>
  <c r="U318" i="11" s="1"/>
  <c r="V333" i="11"/>
  <c r="U333" i="11" s="1"/>
  <c r="V336" i="11"/>
  <c r="U336" i="11" s="1"/>
  <c r="V339" i="11"/>
  <c r="U339" i="11" s="1"/>
  <c r="V350" i="11"/>
  <c r="U350" i="11" s="1"/>
  <c r="V355" i="11"/>
  <c r="U355" i="11" s="1"/>
  <c r="V356" i="11"/>
  <c r="U356" i="11" s="1"/>
  <c r="V358" i="11"/>
  <c r="U358" i="11" s="1"/>
  <c r="V363" i="11"/>
  <c r="U363" i="11" s="1"/>
  <c r="V371" i="11"/>
  <c r="U371" i="11" s="1"/>
  <c r="V372" i="11"/>
  <c r="U372" i="11" s="1"/>
  <c r="V379" i="11"/>
  <c r="U379" i="11" s="1"/>
  <c r="V385" i="11"/>
  <c r="U385" i="11" s="1"/>
  <c r="V390" i="11"/>
  <c r="U390" i="11" s="1"/>
  <c r="V396" i="11"/>
  <c r="U396" i="11" s="1"/>
  <c r="V401" i="11"/>
  <c r="U401" i="11" s="1"/>
  <c r="V402" i="11"/>
  <c r="U402" i="11" s="1"/>
  <c r="V423" i="11"/>
  <c r="U423" i="11" s="1"/>
  <c r="V424" i="11"/>
  <c r="U424" i="11" s="1"/>
  <c r="V425" i="11"/>
  <c r="U425" i="11" s="1"/>
  <c r="V433" i="11"/>
  <c r="U433" i="11" s="1"/>
  <c r="V437" i="11"/>
  <c r="U437" i="11" s="1"/>
  <c r="V444" i="11"/>
  <c r="U444" i="11" s="1"/>
  <c r="V450" i="11"/>
  <c r="U450" i="11" s="1"/>
  <c r="V453" i="11"/>
  <c r="U453" i="11" s="1"/>
  <c r="V462" i="11"/>
  <c r="U462" i="11" s="1"/>
  <c r="V464" i="11"/>
  <c r="U464" i="11" s="1"/>
  <c r="V471" i="11"/>
  <c r="U471" i="11" s="1"/>
  <c r="V477" i="11"/>
  <c r="U477" i="11" s="1"/>
  <c r="V479" i="11"/>
  <c r="U479" i="11" s="1"/>
  <c r="V496" i="11"/>
  <c r="U496" i="11" s="1"/>
  <c r="V6" i="11"/>
  <c r="U6" i="11" s="1"/>
  <c r="V10" i="11"/>
  <c r="U10" i="11" s="1"/>
  <c r="V45" i="11"/>
  <c r="U45" i="11" s="1"/>
  <c r="V56" i="11"/>
  <c r="U56" i="11" s="1"/>
  <c r="V57" i="11"/>
  <c r="U57" i="11" s="1"/>
  <c r="V62" i="11"/>
  <c r="U62" i="11" s="1"/>
  <c r="V64" i="11"/>
  <c r="U64" i="11" s="1"/>
  <c r="V76" i="11"/>
  <c r="U76" i="11"/>
  <c r="V80" i="11"/>
  <c r="U80" i="11" s="1"/>
  <c r="V87" i="11"/>
  <c r="U87" i="11" s="1"/>
  <c r="V100" i="11"/>
  <c r="U100" i="11" s="1"/>
  <c r="V102" i="11"/>
  <c r="U102" i="11" s="1"/>
  <c r="V104" i="11"/>
  <c r="U104" i="11" s="1"/>
  <c r="V110" i="11"/>
  <c r="U110" i="11"/>
  <c r="V124" i="11"/>
  <c r="U124" i="11" s="1"/>
  <c r="V131" i="11"/>
  <c r="U131" i="11" s="1"/>
  <c r="V132" i="11"/>
  <c r="U132" i="11" s="1"/>
  <c r="V140" i="11"/>
  <c r="U140" i="11" s="1"/>
  <c r="V147" i="11"/>
  <c r="U147" i="11" s="1"/>
  <c r="V186" i="11"/>
  <c r="U186" i="11" s="1"/>
  <c r="V205" i="11"/>
  <c r="U205" i="11" s="1"/>
  <c r="V215" i="11"/>
  <c r="U215" i="11" s="1"/>
  <c r="V218" i="11"/>
  <c r="U218" i="11" s="1"/>
  <c r="V227" i="11"/>
  <c r="U227" i="11" s="1"/>
  <c r="V237" i="11"/>
  <c r="U237" i="11" s="1"/>
  <c r="V277" i="11"/>
  <c r="U277" i="11" s="1"/>
  <c r="V280" i="11"/>
  <c r="U280" i="11" s="1"/>
  <c r="V286" i="11"/>
  <c r="U286" i="11" s="1"/>
  <c r="V293" i="11"/>
  <c r="U293" i="11" s="1"/>
  <c r="V297" i="11"/>
  <c r="U297" i="11" s="1"/>
  <c r="V298" i="11"/>
  <c r="U298" i="11" s="1"/>
  <c r="V332" i="11"/>
  <c r="U332" i="11" s="1"/>
  <c r="V334" i="11"/>
  <c r="U334" i="11" s="1"/>
  <c r="V337" i="11"/>
  <c r="U337" i="11" s="1"/>
  <c r="V342" i="11"/>
  <c r="U342" i="11" s="1"/>
  <c r="V346" i="11"/>
  <c r="U346" i="11" s="1"/>
  <c r="V381" i="11"/>
  <c r="U381" i="11" s="1"/>
  <c r="V389" i="11"/>
  <c r="U389" i="11" s="1"/>
  <c r="V397" i="11"/>
  <c r="U397" i="11" s="1"/>
  <c r="V400" i="11"/>
  <c r="U400" i="11" s="1"/>
  <c r="V404" i="11"/>
  <c r="U404" i="11" s="1"/>
  <c r="V410" i="11"/>
  <c r="U410" i="11" s="1"/>
  <c r="V416" i="11"/>
  <c r="U416" i="11" s="1"/>
  <c r="V420" i="11"/>
  <c r="U420" i="11" s="1"/>
  <c r="V427" i="11"/>
  <c r="U427" i="11" s="1"/>
  <c r="V442" i="11"/>
  <c r="U442" i="11" s="1"/>
  <c r="V448" i="11"/>
  <c r="U448" i="11" s="1"/>
  <c r="V465" i="11"/>
  <c r="U465" i="11" s="1"/>
  <c r="V467" i="11"/>
  <c r="U467" i="11" s="1"/>
  <c r="V470" i="11"/>
  <c r="U470" i="11" s="1"/>
  <c r="V476" i="11"/>
  <c r="U476" i="11" s="1"/>
  <c r="V489" i="11"/>
  <c r="U489" i="11" s="1"/>
  <c r="V495" i="11"/>
  <c r="U495" i="11" s="1"/>
  <c r="V497" i="11"/>
  <c r="U497" i="11" s="1"/>
  <c r="V499" i="11"/>
  <c r="U499" i="11" s="1"/>
  <c r="V234" i="11"/>
  <c r="U234" i="11" s="1"/>
  <c r="V378" i="11"/>
  <c r="U378" i="11" s="1"/>
  <c r="V116" i="11"/>
  <c r="U116" i="11" s="1"/>
  <c r="T429" i="11"/>
  <c r="S429" i="11" s="1"/>
  <c r="T181" i="11"/>
  <c r="S181" i="11" s="1"/>
  <c r="T16" i="11"/>
  <c r="S16" i="11" s="1"/>
  <c r="T46" i="11"/>
  <c r="S46" i="11" s="1"/>
  <c r="T86" i="11"/>
  <c r="S86" i="11" s="1"/>
  <c r="T157" i="11"/>
  <c r="S157" i="11" s="1"/>
  <c r="T183" i="11"/>
  <c r="S183" i="11" s="1"/>
  <c r="T243" i="11"/>
  <c r="S243" i="11" s="1"/>
  <c r="T440" i="11"/>
  <c r="S440" i="11" s="1"/>
  <c r="T2" i="11"/>
  <c r="T61" i="11"/>
  <c r="S61" i="11" s="1"/>
  <c r="T63" i="11"/>
  <c r="S63" i="11" s="1"/>
  <c r="T95" i="11"/>
  <c r="S95" i="11" s="1"/>
  <c r="T96" i="11"/>
  <c r="S96" i="11" s="1"/>
  <c r="T122" i="11"/>
  <c r="S122" i="11" s="1"/>
  <c r="T144" i="11"/>
  <c r="S144" i="11" s="1"/>
  <c r="T165" i="11"/>
  <c r="S165" i="11" s="1"/>
  <c r="T194" i="11"/>
  <c r="S194" i="11" s="1"/>
  <c r="T201" i="11"/>
  <c r="S201" i="11" s="1"/>
  <c r="T231" i="11"/>
  <c r="S231" i="11" s="1"/>
  <c r="T246" i="11"/>
  <c r="S246" i="11" s="1"/>
  <c r="T251" i="11"/>
  <c r="S251" i="11" s="1"/>
  <c r="T276" i="11"/>
  <c r="S276" i="11" s="1"/>
  <c r="T331" i="11"/>
  <c r="S331" i="11" s="1"/>
  <c r="T351" i="11"/>
  <c r="S351" i="11" s="1"/>
  <c r="T480" i="11"/>
  <c r="S480" i="11" s="1"/>
  <c r="T484" i="11"/>
  <c r="S484" i="11" s="1"/>
  <c r="T487" i="11"/>
  <c r="S487" i="11" s="1"/>
  <c r="T23" i="11"/>
  <c r="S23" i="11" s="1"/>
  <c r="T192" i="11"/>
  <c r="S192" i="11" s="1"/>
  <c r="T199" i="11"/>
  <c r="S199" i="11" s="1"/>
  <c r="T228" i="11"/>
  <c r="S228" i="11" s="1"/>
  <c r="T247" i="11"/>
  <c r="S247" i="11" s="1"/>
  <c r="T310" i="11"/>
  <c r="S310" i="11" s="1"/>
  <c r="T384" i="11"/>
  <c r="S384" i="11" s="1"/>
  <c r="T22" i="11"/>
  <c r="S22" i="11" s="1"/>
  <c r="T469" i="11"/>
  <c r="S469" i="11" s="1"/>
  <c r="T128" i="11"/>
  <c r="S128" i="11" s="1"/>
  <c r="T344" i="11"/>
  <c r="S344" i="11" s="1"/>
  <c r="T88" i="11"/>
  <c r="S88" i="11" s="1"/>
  <c r="T281" i="11"/>
  <c r="S281" i="11" s="1"/>
  <c r="T317" i="11"/>
  <c r="S317" i="11" s="1"/>
  <c r="T456" i="11"/>
  <c r="S456" i="11" s="1"/>
  <c r="T129" i="11"/>
  <c r="S129" i="11" s="1"/>
  <c r="T145" i="11"/>
  <c r="S145" i="11" s="1"/>
  <c r="T258" i="11"/>
  <c r="S258" i="11" s="1"/>
  <c r="T422" i="11"/>
  <c r="S422" i="11" s="1"/>
  <c r="T468" i="11"/>
  <c r="S468" i="11" s="1"/>
  <c r="T364" i="11"/>
  <c r="S364" i="11" s="1"/>
  <c r="T405" i="11"/>
  <c r="S405" i="11" s="1"/>
  <c r="T406" i="11"/>
  <c r="S406" i="11" s="1"/>
  <c r="T426" i="11"/>
  <c r="S426" i="11" s="1"/>
  <c r="T428" i="11"/>
  <c r="S428" i="11" s="1"/>
  <c r="T223" i="11"/>
  <c r="S223" i="11" s="1"/>
  <c r="T485" i="11"/>
  <c r="S485" i="11" s="1"/>
  <c r="T263" i="11"/>
  <c r="S263" i="11" s="1"/>
  <c r="T153" i="11"/>
  <c r="S153" i="11" s="1"/>
  <c r="T214" i="11"/>
  <c r="S214" i="11" s="1"/>
  <c r="T24" i="11"/>
  <c r="S24" i="11" s="1"/>
  <c r="T208" i="11"/>
  <c r="S208" i="11" s="1"/>
  <c r="T168" i="11"/>
  <c r="S168" i="11" s="1"/>
  <c r="T283" i="11"/>
  <c r="S283" i="11" s="1"/>
  <c r="T325" i="11"/>
  <c r="S325" i="11" s="1"/>
  <c r="T408" i="11"/>
  <c r="S408" i="11" s="1"/>
  <c r="T414" i="11"/>
  <c r="S414" i="11" s="1"/>
  <c r="T478" i="11"/>
  <c r="S478" i="11" s="1"/>
  <c r="T68" i="11"/>
  <c r="S68" i="11" s="1"/>
  <c r="T74" i="11"/>
  <c r="S74" i="11" s="1"/>
  <c r="T82" i="11"/>
  <c r="S82" i="11" s="1"/>
  <c r="T99" i="11"/>
  <c r="S99" i="11" s="1"/>
  <c r="T175" i="11"/>
  <c r="S175" i="11" s="1"/>
  <c r="T193" i="11"/>
  <c r="S193" i="11" s="1"/>
  <c r="T244" i="11"/>
  <c r="S244" i="11" s="1"/>
  <c r="T273" i="11"/>
  <c r="S273" i="11" s="1"/>
  <c r="T434" i="11"/>
  <c r="S434" i="11" s="1"/>
  <c r="T439" i="11"/>
  <c r="S439" i="11" s="1"/>
  <c r="T138" i="11"/>
  <c r="S138" i="11" s="1"/>
  <c r="T65" i="11"/>
  <c r="S65" i="11" s="1"/>
  <c r="T66" i="11"/>
  <c r="S66" i="11" s="1"/>
  <c r="T94" i="11"/>
  <c r="S94" i="11" s="1"/>
  <c r="T107" i="11"/>
  <c r="S107" i="11" s="1"/>
  <c r="T386" i="11"/>
  <c r="S386" i="11" s="1"/>
  <c r="T327" i="11"/>
  <c r="S327" i="11" s="1"/>
  <c r="T447" i="11"/>
  <c r="S447" i="11" s="1"/>
  <c r="T454" i="11"/>
  <c r="S454" i="11" s="1"/>
  <c r="T493" i="11"/>
  <c r="S493" i="11" s="1"/>
  <c r="T4" i="11"/>
  <c r="S4" i="11" s="1"/>
  <c r="T114" i="11"/>
  <c r="S114" i="11" s="1"/>
  <c r="T338" i="11"/>
  <c r="S338" i="11" s="1"/>
  <c r="T232" i="11"/>
  <c r="S232" i="11" s="1"/>
  <c r="T491" i="11"/>
  <c r="S491" i="11" s="1"/>
  <c r="T500" i="11"/>
  <c r="S500" i="11" s="1"/>
  <c r="T173" i="11"/>
  <c r="S173" i="11" s="1"/>
  <c r="T436" i="11"/>
  <c r="S436" i="11" s="1"/>
  <c r="T90" i="11"/>
  <c r="S90" i="11" s="1"/>
  <c r="T101" i="11"/>
  <c r="S101" i="11" s="1"/>
  <c r="T177" i="11"/>
  <c r="S177" i="11" s="1"/>
  <c r="T225" i="11"/>
  <c r="S225" i="11" s="1"/>
  <c r="T230" i="11"/>
  <c r="S230" i="11" s="1"/>
  <c r="T323" i="11"/>
  <c r="S323" i="11" s="1"/>
  <c r="T362" i="11"/>
  <c r="S362" i="11" s="1"/>
  <c r="T441" i="11"/>
  <c r="S441" i="11" s="1"/>
  <c r="T77" i="11"/>
  <c r="S77" i="11" s="1"/>
  <c r="T482" i="11"/>
  <c r="S482" i="11" s="1"/>
  <c r="T8" i="11"/>
  <c r="S8" i="11" s="1"/>
  <c r="T44" i="11"/>
  <c r="S44" i="11" s="1"/>
  <c r="T109" i="11"/>
  <c r="S109" i="11" s="1"/>
  <c r="T126" i="11"/>
  <c r="S126" i="11" s="1"/>
  <c r="T142" i="11"/>
  <c r="S142" i="11" s="1"/>
  <c r="T143" i="11"/>
  <c r="S143" i="11" s="1"/>
  <c r="T197" i="11"/>
  <c r="S197" i="11" s="1"/>
  <c r="T220" i="11"/>
  <c r="S220" i="11" s="1"/>
  <c r="T151" i="11"/>
  <c r="S151" i="11" s="1"/>
  <c r="T299" i="11"/>
  <c r="S299" i="11" s="1"/>
  <c r="T463" i="11"/>
  <c r="S463" i="11" s="1"/>
  <c r="T305" i="11"/>
  <c r="S305" i="11" s="1"/>
  <c r="T319" i="11"/>
  <c r="S319" i="11" s="1"/>
  <c r="T322" i="11"/>
  <c r="S322" i="11" s="1"/>
  <c r="T348" i="11"/>
  <c r="S348" i="11" s="1"/>
  <c r="T393" i="11"/>
  <c r="S393" i="11" s="1"/>
  <c r="T407" i="11"/>
  <c r="S407" i="11" s="1"/>
  <c r="T418" i="11"/>
  <c r="S418" i="11" s="1"/>
  <c r="T430" i="11"/>
  <c r="S430" i="11" s="1"/>
  <c r="T449" i="11"/>
  <c r="S449" i="11" s="1"/>
  <c r="T216" i="11"/>
  <c r="S216" i="11" s="1"/>
  <c r="T483" i="11"/>
  <c r="S483" i="11" s="1"/>
  <c r="T501" i="11"/>
  <c r="S501" i="11" s="1"/>
  <c r="T37" i="11"/>
  <c r="S37" i="11" s="1"/>
  <c r="T67" i="11"/>
  <c r="S67" i="11" s="1"/>
  <c r="T78" i="11"/>
  <c r="S78" i="11" s="1"/>
  <c r="T119" i="11"/>
  <c r="S119" i="11" s="1"/>
  <c r="T123" i="11"/>
  <c r="S123" i="11" s="1"/>
  <c r="T141" i="11"/>
  <c r="S141" i="11" s="1"/>
  <c r="T154" i="11"/>
  <c r="S154" i="11" s="1"/>
  <c r="T160" i="11"/>
  <c r="S160" i="11" s="1"/>
  <c r="T161" i="11"/>
  <c r="S161" i="11" s="1"/>
  <c r="T206" i="11"/>
  <c r="S206" i="11" s="1"/>
  <c r="T245" i="11"/>
  <c r="S245" i="11" s="1"/>
  <c r="T279" i="11"/>
  <c r="S279" i="11" s="1"/>
  <c r="T494" i="11"/>
  <c r="S494" i="11" s="1"/>
  <c r="T373" i="11"/>
  <c r="S373" i="11" s="1"/>
  <c r="T377" i="11"/>
  <c r="S377" i="11" s="1"/>
  <c r="T33" i="11"/>
  <c r="S33" i="11" s="1"/>
  <c r="T459" i="11"/>
  <c r="S459" i="11" s="1"/>
  <c r="T466" i="11"/>
  <c r="S466" i="11" s="1"/>
  <c r="T481" i="11"/>
  <c r="S481" i="11" s="1"/>
  <c r="T417" i="11"/>
  <c r="S417" i="11" s="1"/>
  <c r="T164" i="11"/>
  <c r="S164" i="11" s="1"/>
  <c r="T176" i="11"/>
  <c r="S176" i="11" s="1"/>
  <c r="T207" i="11"/>
  <c r="S207" i="11" s="1"/>
  <c r="T343" i="11"/>
  <c r="S343" i="11" s="1"/>
  <c r="T5" i="11"/>
  <c r="S5" i="11" s="1"/>
  <c r="T48" i="11"/>
  <c r="S48" i="11" s="1"/>
  <c r="T98" i="11"/>
  <c r="S98" i="11" s="1"/>
  <c r="T262" i="11"/>
  <c r="S262" i="11" s="1"/>
  <c r="T7" i="11"/>
  <c r="S7" i="11" s="1"/>
  <c r="T118" i="11"/>
  <c r="S118" i="11" s="1"/>
  <c r="T203" i="11"/>
  <c r="S203" i="11" s="1"/>
  <c r="T236" i="11"/>
  <c r="S236" i="11" s="1"/>
  <c r="T242" i="11"/>
  <c r="S242" i="11" s="1"/>
  <c r="T229" i="11"/>
  <c r="S229" i="11" s="1"/>
  <c r="T347" i="11"/>
  <c r="S347" i="11" s="1"/>
  <c r="T35" i="11"/>
  <c r="S35" i="11" s="1"/>
  <c r="T375" i="11"/>
  <c r="S375" i="11" s="1"/>
  <c r="T392" i="11"/>
  <c r="S392" i="11" s="1"/>
  <c r="T435" i="11"/>
  <c r="S435" i="11" s="1"/>
  <c r="T438" i="11"/>
  <c r="S438" i="11" s="1"/>
  <c r="T446" i="11"/>
  <c r="S446" i="11" s="1"/>
  <c r="T488" i="11"/>
  <c r="S488" i="11" s="1"/>
  <c r="T12" i="11"/>
  <c r="S12" i="11" s="1"/>
  <c r="T26" i="11"/>
  <c r="S26" i="11" s="1"/>
  <c r="T345" i="11"/>
  <c r="S345" i="11" s="1"/>
  <c r="T59" i="11"/>
  <c r="S59" i="11" s="1"/>
  <c r="T72" i="11"/>
  <c r="S72" i="11" s="1"/>
  <c r="T92" i="11"/>
  <c r="S92" i="11" s="1"/>
  <c r="T103" i="11"/>
  <c r="S103" i="11" s="1"/>
  <c r="T134" i="11"/>
  <c r="S134" i="11" s="1"/>
  <c r="T148" i="11"/>
  <c r="S148" i="11" s="1"/>
  <c r="T162" i="11"/>
  <c r="S162" i="11" s="1"/>
  <c r="T178" i="11"/>
  <c r="S178" i="11" s="1"/>
  <c r="T249" i="11"/>
  <c r="S249" i="11" s="1"/>
  <c r="T266" i="11"/>
  <c r="S266" i="11" s="1"/>
  <c r="T287" i="11"/>
  <c r="S287" i="11" s="1"/>
  <c r="T455" i="11"/>
  <c r="S455" i="11" s="1"/>
  <c r="T295" i="11"/>
  <c r="S295" i="11" s="1"/>
  <c r="T301" i="11"/>
  <c r="S301" i="11" s="1"/>
  <c r="T304" i="11"/>
  <c r="S304" i="11" s="1"/>
  <c r="T311" i="11"/>
  <c r="S311" i="11" s="1"/>
  <c r="T374" i="11"/>
  <c r="S374" i="11" s="1"/>
  <c r="T388" i="11"/>
  <c r="S388" i="11" s="1"/>
  <c r="T395" i="11"/>
  <c r="S395" i="11" s="1"/>
  <c r="T399" i="11"/>
  <c r="S399" i="11" s="1"/>
  <c r="T412" i="11"/>
  <c r="S412" i="11" s="1"/>
  <c r="T458" i="11"/>
  <c r="S458" i="11" s="1"/>
  <c r="T432" i="11"/>
  <c r="S432" i="11" s="1"/>
  <c r="T52" i="11"/>
  <c r="S52" i="11" s="1"/>
  <c r="T55" i="11"/>
  <c r="S55" i="11" s="1"/>
  <c r="T474" i="11"/>
  <c r="S474" i="11" s="1"/>
  <c r="T486" i="11"/>
  <c r="S486" i="11" s="1"/>
  <c r="T490" i="11"/>
  <c r="S490" i="11" s="1"/>
  <c r="T443" i="11"/>
  <c r="S443" i="11" s="1"/>
  <c r="T3" i="11"/>
  <c r="S3" i="11" s="1"/>
  <c r="T34" i="11"/>
  <c r="S34" i="11" s="1"/>
  <c r="T53" i="11"/>
  <c r="S53" i="11" s="1"/>
  <c r="T58" i="11"/>
  <c r="S58" i="11" s="1"/>
  <c r="T106" i="11"/>
  <c r="S106" i="11" s="1"/>
  <c r="T115" i="11"/>
  <c r="S115" i="11" s="1"/>
  <c r="T135" i="11"/>
  <c r="S135" i="11" s="1"/>
  <c r="T146" i="11"/>
  <c r="S146" i="11" s="1"/>
  <c r="T150" i="11"/>
  <c r="S150" i="11" s="1"/>
  <c r="T171" i="11"/>
  <c r="S171" i="11" s="1"/>
  <c r="T172" i="11"/>
  <c r="S172" i="11" s="1"/>
  <c r="T211" i="11"/>
  <c r="S211" i="11" s="1"/>
  <c r="T357" i="11"/>
  <c r="S357" i="11" s="1"/>
  <c r="T240" i="11"/>
  <c r="S240" i="11" s="1"/>
  <c r="T272" i="11"/>
  <c r="S272" i="11" s="1"/>
  <c r="T292" i="11"/>
  <c r="S292" i="11" s="1"/>
  <c r="T180" i="11"/>
  <c r="S180" i="11" s="1"/>
  <c r="T328" i="11"/>
  <c r="S328" i="11" s="1"/>
  <c r="T330" i="11"/>
  <c r="S330" i="11" s="1"/>
  <c r="T340" i="11"/>
  <c r="S340" i="11" s="1"/>
  <c r="T352" i="11"/>
  <c r="S352" i="11" s="1"/>
  <c r="T366" i="11"/>
  <c r="S366" i="11" s="1"/>
  <c r="T121" i="11"/>
  <c r="S121" i="11" s="1"/>
  <c r="T398" i="11"/>
  <c r="S398" i="11" s="1"/>
  <c r="T461" i="11"/>
  <c r="S461" i="11" s="1"/>
  <c r="T475" i="11"/>
  <c r="S475" i="11" s="1"/>
  <c r="T17" i="11"/>
  <c r="S17" i="11" s="1"/>
  <c r="T270" i="11"/>
  <c r="S270" i="11" s="1"/>
  <c r="T30" i="11"/>
  <c r="S30" i="11" s="1"/>
  <c r="T112" i="11"/>
  <c r="S112" i="11" s="1"/>
  <c r="T268" i="11"/>
  <c r="S268" i="11" s="1"/>
  <c r="T9" i="11"/>
  <c r="S9" i="11" s="1"/>
  <c r="T89" i="11"/>
  <c r="S89" i="11" s="1"/>
  <c r="T202" i="11"/>
  <c r="S202" i="11" s="1"/>
  <c r="T28" i="11"/>
  <c r="S28" i="11" s="1"/>
  <c r="T353" i="11"/>
  <c r="S353" i="11" s="1"/>
  <c r="T36" i="11"/>
  <c r="S36" i="11" s="1"/>
  <c r="T40" i="11"/>
  <c r="S40" i="11" s="1"/>
  <c r="T294" i="11"/>
  <c r="S294" i="11" s="1"/>
  <c r="T111" i="11"/>
  <c r="S111" i="11" s="1"/>
  <c r="T179" i="11"/>
  <c r="S179" i="11" s="1"/>
  <c r="T341" i="11"/>
  <c r="S341" i="11" s="1"/>
  <c r="T361" i="11"/>
  <c r="S361" i="11" s="1"/>
  <c r="T457" i="11"/>
  <c r="S457" i="11" s="1"/>
  <c r="T492" i="11"/>
  <c r="S492" i="11" s="1"/>
  <c r="T14" i="11"/>
  <c r="S14" i="11"/>
  <c r="T265" i="11"/>
  <c r="S265" i="11" s="1"/>
  <c r="T21" i="11"/>
  <c r="S21" i="11" s="1"/>
  <c r="T235" i="11"/>
  <c r="S235" i="11" s="1"/>
  <c r="T73" i="11"/>
  <c r="S73" i="11" s="1"/>
  <c r="T238" i="11"/>
  <c r="S238" i="11" s="1"/>
  <c r="T81" i="11"/>
  <c r="S81" i="11" s="1"/>
  <c r="T320" i="11"/>
  <c r="S320" i="11" s="1"/>
  <c r="T158" i="11"/>
  <c r="S158" i="11" s="1"/>
  <c r="T174" i="11"/>
  <c r="S174" i="11" s="1"/>
  <c r="T182" i="11"/>
  <c r="S182" i="11" s="1"/>
  <c r="T184" i="11"/>
  <c r="S184" i="11" s="1"/>
  <c r="T191" i="11"/>
  <c r="S191" i="11" s="1"/>
  <c r="T196" i="11"/>
  <c r="S196" i="11" s="1"/>
  <c r="T217" i="11"/>
  <c r="S217" i="11" s="1"/>
  <c r="T19" i="11"/>
  <c r="S19" i="11" s="1"/>
  <c r="T257" i="11"/>
  <c r="S257" i="11" s="1"/>
  <c r="T264" i="11"/>
  <c r="S264" i="11" s="1"/>
  <c r="T267" i="11"/>
  <c r="S267" i="11" s="1"/>
  <c r="T296" i="11"/>
  <c r="S296" i="11" s="1"/>
  <c r="T313" i="11"/>
  <c r="S313" i="11" s="1"/>
  <c r="T326" i="11"/>
  <c r="S326" i="11" s="1"/>
  <c r="T329" i="11"/>
  <c r="S329" i="11" s="1"/>
  <c r="T349" i="11"/>
  <c r="S349" i="11" s="1"/>
  <c r="T359" i="11"/>
  <c r="S359" i="11" s="1"/>
  <c r="T365" i="11"/>
  <c r="S365" i="11" s="1"/>
  <c r="T376" i="11"/>
  <c r="S376" i="11" s="1"/>
  <c r="T394" i="11"/>
  <c r="S394" i="11" s="1"/>
  <c r="T403" i="11"/>
  <c r="S403" i="11" s="1"/>
  <c r="T413" i="11"/>
  <c r="S413" i="11" s="1"/>
  <c r="T415" i="11"/>
  <c r="S415" i="11" s="1"/>
  <c r="T421" i="11"/>
  <c r="S421" i="11" s="1"/>
  <c r="T451" i="11"/>
  <c r="S451" i="11" s="1"/>
  <c r="T498" i="11"/>
  <c r="S498" i="11" s="1"/>
  <c r="T252" i="11"/>
  <c r="S252" i="11" s="1"/>
  <c r="T20" i="11"/>
  <c r="S20" i="11" s="1"/>
  <c r="T25" i="11"/>
  <c r="S25" i="11" s="1"/>
  <c r="T29" i="11"/>
  <c r="S29" i="11" s="1"/>
  <c r="T54" i="11"/>
  <c r="S54" i="11" s="1"/>
  <c r="T69" i="11"/>
  <c r="S69" i="11" s="1"/>
  <c r="T71" i="11"/>
  <c r="S71" i="11" s="1"/>
  <c r="T75" i="11"/>
  <c r="S75" i="11" s="1"/>
  <c r="T79" i="11"/>
  <c r="S79" i="11" s="1"/>
  <c r="T91" i="11"/>
  <c r="S91" i="11" s="1"/>
  <c r="T105" i="11"/>
  <c r="S105" i="11" s="1"/>
  <c r="T117" i="11"/>
  <c r="S117" i="11" s="1"/>
  <c r="T306" i="11"/>
  <c r="S306" i="11" s="1"/>
  <c r="T419" i="11"/>
  <c r="S419" i="11" s="1"/>
  <c r="T152" i="11"/>
  <c r="S152" i="11" s="1"/>
  <c r="T167" i="11"/>
  <c r="S167" i="11" s="1"/>
  <c r="T169" i="11"/>
  <c r="S169" i="11" s="1"/>
  <c r="T170" i="11"/>
  <c r="S170" i="11" s="1"/>
  <c r="T188" i="11"/>
  <c r="S188" i="11" s="1"/>
  <c r="T189" i="11"/>
  <c r="S189" i="11" s="1"/>
  <c r="T213" i="11"/>
  <c r="S213" i="11" s="1"/>
  <c r="T219" i="11"/>
  <c r="S219" i="11" s="1"/>
  <c r="T221" i="11"/>
  <c r="S221" i="11" s="1"/>
  <c r="T224" i="11"/>
  <c r="S224" i="11" s="1"/>
  <c r="T226" i="11"/>
  <c r="S226" i="11" s="1"/>
  <c r="T300" i="11"/>
  <c r="S300" i="11" s="1"/>
  <c r="T261" i="11"/>
  <c r="S261" i="11" s="1"/>
  <c r="T289" i="11"/>
  <c r="S289" i="11" s="1"/>
  <c r="T290" i="11"/>
  <c r="S290" i="11" s="1"/>
  <c r="T309" i="11"/>
  <c r="S309" i="11" s="1"/>
  <c r="T321" i="11"/>
  <c r="S321" i="11" s="1"/>
  <c r="T324" i="11"/>
  <c r="S324" i="11" s="1"/>
  <c r="T354" i="11"/>
  <c r="S354" i="11" s="1"/>
  <c r="T360" i="11"/>
  <c r="S360" i="11" s="1"/>
  <c r="T368" i="11"/>
  <c r="S368" i="11" s="1"/>
  <c r="T369" i="11"/>
  <c r="S369" i="11" s="1"/>
  <c r="T370" i="11"/>
  <c r="S370" i="11" s="1"/>
  <c r="T380" i="11"/>
  <c r="S380" i="11" s="1"/>
  <c r="T409" i="11"/>
  <c r="S409" i="11" s="1"/>
  <c r="T411" i="11"/>
  <c r="S411" i="11" s="1"/>
  <c r="T431" i="11"/>
  <c r="S431" i="11" s="1"/>
  <c r="T445" i="11"/>
  <c r="S445" i="11" s="1"/>
  <c r="T452" i="11"/>
  <c r="S452" i="11" s="1"/>
  <c r="T13" i="11"/>
  <c r="S13" i="11" s="1"/>
  <c r="T222" i="11"/>
  <c r="S222" i="11" s="1"/>
  <c r="T198" i="11"/>
  <c r="S198" i="11" s="1"/>
  <c r="T254" i="11"/>
  <c r="S254" i="11" s="1"/>
  <c r="T367" i="11"/>
  <c r="S367" i="11" s="1"/>
  <c r="T382" i="11"/>
  <c r="S382" i="11" s="1"/>
  <c r="T50" i="11"/>
  <c r="S50" i="11" s="1"/>
  <c r="T139" i="11"/>
  <c r="S139" i="11" s="1"/>
  <c r="T260" i="11"/>
  <c r="S260" i="11" s="1"/>
  <c r="T387" i="11"/>
  <c r="S387" i="11" s="1"/>
  <c r="T11" i="11"/>
  <c r="S11" i="11" s="1"/>
  <c r="T27" i="11"/>
  <c r="S27" i="11" s="1"/>
  <c r="T47" i="11"/>
  <c r="S47" i="11" s="1"/>
  <c r="T83" i="11"/>
  <c r="S83" i="11"/>
  <c r="T127" i="11"/>
  <c r="S127" i="11" s="1"/>
  <c r="T133" i="11"/>
  <c r="S133" i="11" s="1"/>
  <c r="T159" i="11"/>
  <c r="S159" i="11" s="1"/>
  <c r="T185" i="11"/>
  <c r="S185" i="11" s="1"/>
  <c r="T195" i="11"/>
  <c r="S195" i="11" s="1"/>
  <c r="T200" i="11"/>
  <c r="S200" i="11" s="1"/>
  <c r="T209" i="11"/>
  <c r="S209" i="11" s="1"/>
  <c r="T255" i="11"/>
  <c r="S255" i="11" s="1"/>
  <c r="T274" i="11"/>
  <c r="S274" i="11" s="1"/>
  <c r="T288" i="11"/>
  <c r="S288" i="11" s="1"/>
  <c r="T303" i="11"/>
  <c r="S303" i="11" s="1"/>
  <c r="T335" i="11"/>
  <c r="S335" i="11" s="1"/>
  <c r="T383" i="11"/>
  <c r="S383" i="11" s="1"/>
  <c r="T391" i="11"/>
  <c r="S391" i="11" s="1"/>
  <c r="T460" i="11"/>
  <c r="S460" i="11" s="1"/>
  <c r="T472" i="11"/>
  <c r="S472" i="11" s="1"/>
  <c r="T473" i="11"/>
  <c r="S473" i="11" s="1"/>
  <c r="T15" i="11"/>
  <c r="S15" i="11" s="1"/>
  <c r="T18" i="11"/>
  <c r="S18" i="11" s="1"/>
  <c r="T31" i="11"/>
  <c r="S31" i="11" s="1"/>
  <c r="T32" i="11"/>
  <c r="S32" i="11" s="1"/>
  <c r="T38" i="11"/>
  <c r="S38" i="11" s="1"/>
  <c r="T39" i="11"/>
  <c r="S39" i="11" s="1"/>
  <c r="T41" i="11"/>
  <c r="S41" i="11" s="1"/>
  <c r="T42" i="11"/>
  <c r="S42" i="11" s="1"/>
  <c r="T43" i="11"/>
  <c r="S43" i="11" s="1"/>
  <c r="T49" i="11"/>
  <c r="S49" i="11" s="1"/>
  <c r="T51" i="11"/>
  <c r="S51" i="11" s="1"/>
  <c r="T60" i="11"/>
  <c r="S60" i="11" s="1"/>
  <c r="T70" i="11"/>
  <c r="S70" i="11" s="1"/>
  <c r="T84" i="11"/>
  <c r="S84" i="11" s="1"/>
  <c r="T85" i="11"/>
  <c r="S85" i="11"/>
  <c r="T93" i="11"/>
  <c r="S93" i="11" s="1"/>
  <c r="T97" i="11"/>
  <c r="S97" i="11" s="1"/>
  <c r="T108" i="11"/>
  <c r="S108" i="11" s="1"/>
  <c r="T113" i="11"/>
  <c r="S113" i="11" s="1"/>
  <c r="T120" i="11"/>
  <c r="S120" i="11" s="1"/>
  <c r="T125" i="11"/>
  <c r="S125" i="11" s="1"/>
  <c r="T130" i="11"/>
  <c r="S130" i="11" s="1"/>
  <c r="T136" i="11"/>
  <c r="S136" i="11" s="1"/>
  <c r="T137" i="11"/>
  <c r="S137" i="11" s="1"/>
  <c r="T149" i="11"/>
  <c r="S149" i="11" s="1"/>
  <c r="T155" i="11"/>
  <c r="S155" i="11" s="1"/>
  <c r="T156" i="11"/>
  <c r="S156" i="11" s="1"/>
  <c r="T163" i="11"/>
  <c r="S163" i="11" s="1"/>
  <c r="T166" i="11"/>
  <c r="S166" i="11" s="1"/>
  <c r="T187" i="11"/>
  <c r="S187" i="11" s="1"/>
  <c r="T190" i="11"/>
  <c r="S190" i="11" s="1"/>
  <c r="T204" i="11"/>
  <c r="S204" i="11" s="1"/>
  <c r="T210" i="11"/>
  <c r="S210" i="11" s="1"/>
  <c r="T212" i="11"/>
  <c r="S212" i="11" s="1"/>
  <c r="T233" i="11"/>
  <c r="S233" i="11" s="1"/>
  <c r="T239" i="11"/>
  <c r="S239" i="11" s="1"/>
  <c r="T241" i="11"/>
  <c r="S241" i="11" s="1"/>
  <c r="T248" i="11"/>
  <c r="S248" i="11" s="1"/>
  <c r="T250" i="11"/>
  <c r="S250" i="11" s="1"/>
  <c r="T253" i="11"/>
  <c r="S253" i="11" s="1"/>
  <c r="T256" i="11"/>
  <c r="S256" i="11" s="1"/>
  <c r="T259" i="11"/>
  <c r="S259" i="11" s="1"/>
  <c r="T269" i="11"/>
  <c r="S269" i="11" s="1"/>
  <c r="T271" i="11"/>
  <c r="S271" i="11" s="1"/>
  <c r="T275" i="11"/>
  <c r="S275" i="11" s="1"/>
  <c r="T278" i="11"/>
  <c r="S278" i="11" s="1"/>
  <c r="T282" i="11"/>
  <c r="S282" i="11" s="1"/>
  <c r="T284" i="11"/>
  <c r="S284" i="11" s="1"/>
  <c r="T285" i="11"/>
  <c r="S285" i="11" s="1"/>
  <c r="T291" i="11"/>
  <c r="S291" i="11" s="1"/>
  <c r="T302" i="11"/>
  <c r="S302" i="11" s="1"/>
  <c r="T307" i="11"/>
  <c r="S307" i="11" s="1"/>
  <c r="T308" i="11"/>
  <c r="S308" i="11" s="1"/>
  <c r="T312" i="11"/>
  <c r="S312" i="11" s="1"/>
  <c r="T314" i="11"/>
  <c r="S314" i="11" s="1"/>
  <c r="T315" i="11"/>
  <c r="S315" i="11" s="1"/>
  <c r="T316" i="11"/>
  <c r="S316" i="11"/>
  <c r="T318" i="11"/>
  <c r="S318" i="11" s="1"/>
  <c r="T333" i="11"/>
  <c r="S333" i="11" s="1"/>
  <c r="T336" i="11"/>
  <c r="S336" i="11" s="1"/>
  <c r="T339" i="11"/>
  <c r="S339" i="11" s="1"/>
  <c r="T350" i="11"/>
  <c r="S350" i="11" s="1"/>
  <c r="T355" i="11"/>
  <c r="S355" i="11" s="1"/>
  <c r="T356" i="11"/>
  <c r="S356" i="11" s="1"/>
  <c r="T358" i="11"/>
  <c r="S358" i="11" s="1"/>
  <c r="T363" i="11"/>
  <c r="S363" i="11" s="1"/>
  <c r="T371" i="11"/>
  <c r="S371" i="11" s="1"/>
  <c r="T372" i="11"/>
  <c r="S372" i="11" s="1"/>
  <c r="T379" i="11"/>
  <c r="S379" i="11" s="1"/>
  <c r="T385" i="11"/>
  <c r="S385" i="11" s="1"/>
  <c r="T390" i="11"/>
  <c r="S390" i="11" s="1"/>
  <c r="T396" i="11"/>
  <c r="S396" i="11" s="1"/>
  <c r="T401" i="11"/>
  <c r="S401" i="11" s="1"/>
  <c r="T402" i="11"/>
  <c r="S402" i="11" s="1"/>
  <c r="T423" i="11"/>
  <c r="S423" i="11" s="1"/>
  <c r="T424" i="11"/>
  <c r="S424" i="11" s="1"/>
  <c r="T425" i="11"/>
  <c r="S425" i="11" s="1"/>
  <c r="T433" i="11"/>
  <c r="S433" i="11" s="1"/>
  <c r="T437" i="11"/>
  <c r="S437" i="11" s="1"/>
  <c r="T444" i="11"/>
  <c r="S444" i="11" s="1"/>
  <c r="T450" i="11"/>
  <c r="S450" i="11" s="1"/>
  <c r="T453" i="11"/>
  <c r="S453" i="11" s="1"/>
  <c r="T462" i="11"/>
  <c r="S462" i="11" s="1"/>
  <c r="T464" i="11"/>
  <c r="S464" i="11" s="1"/>
  <c r="T471" i="11"/>
  <c r="S471" i="11" s="1"/>
  <c r="T477" i="11"/>
  <c r="S477" i="11" s="1"/>
  <c r="T479" i="11"/>
  <c r="S479" i="11" s="1"/>
  <c r="T496" i="11"/>
  <c r="S496" i="11" s="1"/>
  <c r="T6" i="11"/>
  <c r="S6" i="11" s="1"/>
  <c r="T10" i="11"/>
  <c r="S10" i="11" s="1"/>
  <c r="T45" i="11"/>
  <c r="S45" i="11" s="1"/>
  <c r="T56" i="11"/>
  <c r="S56" i="11" s="1"/>
  <c r="T57" i="11"/>
  <c r="S57" i="11" s="1"/>
  <c r="T62" i="11"/>
  <c r="S62" i="11" s="1"/>
  <c r="T64" i="11"/>
  <c r="S64" i="11" s="1"/>
  <c r="T76" i="11"/>
  <c r="S76" i="11" s="1"/>
  <c r="T80" i="11"/>
  <c r="S80" i="11" s="1"/>
  <c r="T87" i="11"/>
  <c r="S87" i="11" s="1"/>
  <c r="T100" i="11"/>
  <c r="S100" i="11" s="1"/>
  <c r="T102" i="11"/>
  <c r="S102" i="11" s="1"/>
  <c r="T104" i="11"/>
  <c r="S104" i="11" s="1"/>
  <c r="T110" i="11"/>
  <c r="S110" i="11" s="1"/>
  <c r="T124" i="11"/>
  <c r="S124" i="11" s="1"/>
  <c r="T131" i="11"/>
  <c r="S131" i="11" s="1"/>
  <c r="T132" i="11"/>
  <c r="S132" i="11" s="1"/>
  <c r="T140" i="11"/>
  <c r="S140" i="11" s="1"/>
  <c r="T147" i="11"/>
  <c r="S147" i="11" s="1"/>
  <c r="T186" i="11"/>
  <c r="S186" i="11" s="1"/>
  <c r="T205" i="11"/>
  <c r="S205" i="11" s="1"/>
  <c r="T215" i="11"/>
  <c r="S215" i="11" s="1"/>
  <c r="T218" i="11"/>
  <c r="S218" i="11" s="1"/>
  <c r="T227" i="11"/>
  <c r="S227" i="11" s="1"/>
  <c r="T237" i="11"/>
  <c r="S237" i="11" s="1"/>
  <c r="T277" i="11"/>
  <c r="S277" i="11" s="1"/>
  <c r="T280" i="11"/>
  <c r="S280" i="11" s="1"/>
  <c r="T286" i="11"/>
  <c r="S286" i="11" s="1"/>
  <c r="T293" i="11"/>
  <c r="S293" i="11"/>
  <c r="T297" i="11"/>
  <c r="S297" i="11" s="1"/>
  <c r="T298" i="11"/>
  <c r="S298" i="11"/>
  <c r="T332" i="11"/>
  <c r="S332" i="11" s="1"/>
  <c r="T334" i="11"/>
  <c r="S334" i="11" s="1"/>
  <c r="T337" i="11"/>
  <c r="S337" i="11" s="1"/>
  <c r="T342" i="11"/>
  <c r="S342" i="11" s="1"/>
  <c r="T346" i="11"/>
  <c r="S346" i="11" s="1"/>
  <c r="T381" i="11"/>
  <c r="S381" i="11" s="1"/>
  <c r="T389" i="11"/>
  <c r="S389" i="11" s="1"/>
  <c r="T397" i="11"/>
  <c r="S397" i="11" s="1"/>
  <c r="T400" i="11"/>
  <c r="S400" i="11" s="1"/>
  <c r="T404" i="11"/>
  <c r="S404" i="11" s="1"/>
  <c r="T410" i="11"/>
  <c r="S410" i="11" s="1"/>
  <c r="T416" i="11"/>
  <c r="S416" i="11" s="1"/>
  <c r="T420" i="11"/>
  <c r="S420" i="11" s="1"/>
  <c r="T427" i="11"/>
  <c r="S427" i="11"/>
  <c r="T442" i="11"/>
  <c r="S442" i="11" s="1"/>
  <c r="T448" i="11"/>
  <c r="S448" i="11" s="1"/>
  <c r="T465" i="11"/>
  <c r="S465" i="11" s="1"/>
  <c r="T467" i="11"/>
  <c r="S467" i="11" s="1"/>
  <c r="T470" i="11"/>
  <c r="S470" i="11" s="1"/>
  <c r="T476" i="11"/>
  <c r="S476" i="11" s="1"/>
  <c r="T489" i="11"/>
  <c r="S489" i="11" s="1"/>
  <c r="T495" i="11"/>
  <c r="S495" i="11" s="1"/>
  <c r="T497" i="11"/>
  <c r="S497" i="11" s="1"/>
  <c r="T499" i="11"/>
  <c r="S499" i="11" s="1"/>
  <c r="T234" i="11"/>
  <c r="S234" i="11" s="1"/>
  <c r="T378" i="11"/>
  <c r="S378" i="11" s="1"/>
  <c r="T116" i="11"/>
  <c r="S116" i="11" s="1"/>
  <c r="X3" i="11"/>
  <c r="X4" i="11"/>
  <c r="X5" i="11"/>
  <c r="X6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X420" i="11"/>
  <c r="X421" i="11"/>
  <c r="X422" i="11"/>
  <c r="X423" i="11"/>
  <c r="X424" i="11"/>
  <c r="X425" i="11"/>
  <c r="X426" i="11"/>
  <c r="X427" i="11"/>
  <c r="X428" i="11"/>
  <c r="X429" i="11"/>
  <c r="X430" i="11"/>
  <c r="X431" i="11"/>
  <c r="X432" i="11"/>
  <c r="X433" i="11"/>
  <c r="X434" i="11"/>
  <c r="X435" i="11"/>
  <c r="X436" i="11"/>
  <c r="X437" i="11"/>
  <c r="X438" i="11"/>
  <c r="X439" i="11"/>
  <c r="X440" i="11"/>
  <c r="X441" i="11"/>
  <c r="X442" i="11"/>
  <c r="X443" i="11"/>
  <c r="X444" i="11"/>
  <c r="X445" i="11"/>
  <c r="X446" i="11"/>
  <c r="X447" i="11"/>
  <c r="X448" i="11"/>
  <c r="X449" i="11"/>
  <c r="X450" i="11"/>
  <c r="X451" i="11"/>
  <c r="X452" i="11"/>
  <c r="X453" i="11"/>
  <c r="X454" i="11"/>
  <c r="X455" i="11"/>
  <c r="X456" i="11"/>
  <c r="X457" i="11"/>
  <c r="X458" i="11"/>
  <c r="X459" i="11"/>
  <c r="X460" i="11"/>
  <c r="X461" i="11"/>
  <c r="X462" i="11"/>
  <c r="X463" i="11"/>
  <c r="X464" i="11"/>
  <c r="X465" i="11"/>
  <c r="X466" i="11"/>
  <c r="X467" i="11"/>
  <c r="X468" i="11"/>
  <c r="X469" i="11"/>
  <c r="X470" i="11"/>
  <c r="X471" i="11"/>
  <c r="X472" i="11"/>
  <c r="X473" i="11"/>
  <c r="X474" i="11"/>
  <c r="X475" i="11"/>
  <c r="X476" i="11"/>
  <c r="X477" i="11"/>
  <c r="X478" i="11"/>
  <c r="X479" i="11"/>
  <c r="X480" i="11"/>
  <c r="X481" i="11"/>
  <c r="X482" i="11"/>
  <c r="X483" i="11"/>
  <c r="X484" i="11"/>
  <c r="X485" i="11"/>
  <c r="X486" i="11"/>
  <c r="X487" i="11"/>
  <c r="X488" i="11"/>
  <c r="X489" i="11"/>
  <c r="X490" i="11"/>
  <c r="X491" i="11"/>
  <c r="X492" i="11"/>
  <c r="X493" i="11"/>
  <c r="X494" i="11"/>
  <c r="X495" i="11"/>
  <c r="X496" i="11"/>
  <c r="X497" i="11"/>
  <c r="X498" i="11"/>
  <c r="X499" i="11"/>
  <c r="X500" i="11"/>
  <c r="X501" i="11"/>
  <c r="X2" i="11"/>
  <c r="E2" i="10"/>
  <c r="J2" i="9"/>
  <c r="I2" i="9"/>
  <c r="H2" i="9"/>
  <c r="G2" i="9"/>
  <c r="F2" i="9"/>
  <c r="E2" i="9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85" i="8"/>
  <c r="A139" i="8"/>
  <c r="A156" i="8"/>
  <c r="A166" i="8"/>
  <c r="A104" i="8"/>
  <c r="A64" i="8"/>
  <c r="A132" i="8"/>
  <c r="A334" i="8"/>
  <c r="A254" i="8"/>
  <c r="A335" i="8"/>
  <c r="A155" i="8"/>
  <c r="A51" i="8"/>
  <c r="A38" i="8"/>
  <c r="A185" i="8"/>
  <c r="A6" i="8"/>
  <c r="A318" i="8"/>
  <c r="A200" i="8"/>
  <c r="A269" i="8"/>
  <c r="A122" i="8"/>
  <c r="A81" i="8"/>
  <c r="A144" i="8"/>
  <c r="A174" i="8"/>
  <c r="A184" i="8"/>
  <c r="A234" i="8"/>
  <c r="A326" i="8"/>
  <c r="A19" i="8"/>
  <c r="A294" i="8"/>
  <c r="A75" i="8"/>
  <c r="A136" i="8"/>
  <c r="A241" i="8"/>
  <c r="A239" i="8"/>
  <c r="A259" i="8"/>
  <c r="A63" i="8"/>
  <c r="A199" i="8"/>
  <c r="A227" i="8"/>
  <c r="A137" i="8"/>
  <c r="A198" i="8"/>
  <c r="A79" i="8"/>
  <c r="A124" i="8"/>
  <c r="A285" i="8"/>
  <c r="A303" i="8"/>
  <c r="A218" i="8"/>
  <c r="A205" i="8"/>
  <c r="A15" i="8"/>
  <c r="A250" i="8"/>
  <c r="A183" i="8"/>
  <c r="A131" i="8"/>
  <c r="A219" i="8"/>
  <c r="A70" i="8"/>
  <c r="A41" i="8"/>
  <c r="A202" i="8"/>
  <c r="A235" i="8"/>
  <c r="A257" i="8"/>
  <c r="A14" i="8"/>
  <c r="A105" i="8"/>
  <c r="A2" i="8"/>
  <c r="A73" i="8"/>
  <c r="A187" i="8"/>
  <c r="A54" i="8"/>
  <c r="A332" i="8"/>
  <c r="A130" i="8"/>
  <c r="A286" i="8"/>
  <c r="A324" i="8"/>
  <c r="A296" i="8"/>
  <c r="A204" i="8"/>
  <c r="A209" i="8"/>
  <c r="A179" i="8"/>
  <c r="A288" i="8"/>
  <c r="A21" i="8"/>
  <c r="A84" i="8"/>
  <c r="A246" i="8"/>
  <c r="A49" i="8"/>
  <c r="A290" i="8"/>
  <c r="A267" i="8"/>
  <c r="A256" i="8"/>
  <c r="A341" i="8"/>
  <c r="A170" i="8"/>
  <c r="A313" i="8"/>
  <c r="A191" i="8"/>
  <c r="A167" i="8"/>
  <c r="A120" i="8"/>
  <c r="A159" i="8"/>
  <c r="A210" i="8"/>
  <c r="A125" i="8"/>
  <c r="A271" i="8"/>
  <c r="A172" i="8"/>
  <c r="A87" i="8"/>
  <c r="A312" i="8"/>
  <c r="A56" i="8"/>
  <c r="A111" i="8"/>
  <c r="A298" i="8"/>
  <c r="A221" i="8"/>
  <c r="A36" i="8"/>
  <c r="A186" i="8"/>
  <c r="A195" i="8"/>
  <c r="A309" i="8"/>
  <c r="A3" i="8"/>
  <c r="A16" i="8"/>
  <c r="A212" i="8"/>
  <c r="A157" i="8"/>
  <c r="A23" i="8"/>
  <c r="A112" i="8"/>
  <c r="A45" i="8"/>
  <c r="A39" i="8"/>
  <c r="A62" i="8"/>
  <c r="A314" i="8"/>
  <c r="A238" i="8"/>
  <c r="A211" i="8"/>
  <c r="A260" i="8"/>
  <c r="A217" i="8"/>
  <c r="A278" i="8"/>
  <c r="A18" i="8"/>
  <c r="A330" i="8"/>
  <c r="A93" i="8"/>
  <c r="A5" i="8"/>
  <c r="A32" i="8"/>
  <c r="A243" i="8"/>
  <c r="A182" i="8"/>
  <c r="A89" i="8"/>
  <c r="A60" i="8"/>
  <c r="A100" i="8"/>
  <c r="A147" i="8"/>
  <c r="A297" i="8"/>
  <c r="A189" i="8"/>
  <c r="A40" i="8"/>
  <c r="A25" i="8"/>
  <c r="A306" i="8"/>
  <c r="A336" i="8"/>
  <c r="A47" i="8"/>
  <c r="A261" i="8"/>
  <c r="A76" i="8"/>
  <c r="A163" i="8"/>
  <c r="A42" i="8"/>
  <c r="A13" i="8"/>
  <c r="A61" i="8"/>
  <c r="A169" i="8"/>
  <c r="A302" i="8"/>
  <c r="A50" i="8"/>
  <c r="A320" i="8"/>
  <c r="A158" i="8"/>
  <c r="A164" i="8"/>
  <c r="A165" i="8"/>
  <c r="A213" i="8"/>
  <c r="A20" i="8"/>
  <c r="A300" i="8"/>
  <c r="A284" i="8"/>
  <c r="A282" i="8"/>
  <c r="A83" i="8"/>
  <c r="A224" i="8"/>
  <c r="A133" i="8"/>
  <c r="A52" i="8"/>
  <c r="A268" i="8"/>
  <c r="A289" i="8"/>
  <c r="A80" i="8"/>
  <c r="A30" i="8"/>
  <c r="A91" i="8"/>
  <c r="A57" i="8"/>
  <c r="A307" i="8"/>
  <c r="A231" i="8"/>
  <c r="A188" i="8"/>
  <c r="A248" i="8"/>
  <c r="A117" i="8"/>
  <c r="A113" i="8"/>
  <c r="A295" i="8"/>
  <c r="A280" i="8"/>
  <c r="A222" i="8"/>
  <c r="A304" i="8"/>
  <c r="A26" i="8"/>
  <c r="A274" i="8"/>
  <c r="A190" i="8"/>
  <c r="A253" i="8"/>
  <c r="A265" i="8"/>
  <c r="A275" i="8"/>
  <c r="A43" i="8"/>
  <c r="A251" i="8"/>
  <c r="A308" i="8"/>
  <c r="A237" i="8"/>
  <c r="A203" i="8"/>
  <c r="A196" i="8"/>
  <c r="A333" i="8"/>
  <c r="A329" i="8"/>
  <c r="A92" i="8"/>
  <c r="A149" i="8"/>
  <c r="A102" i="8"/>
  <c r="A110" i="8"/>
  <c r="A293" i="8"/>
  <c r="A264" i="8"/>
  <c r="A127" i="8"/>
  <c r="A171" i="8"/>
  <c r="A287" i="8"/>
  <c r="A321" i="8"/>
  <c r="A192" i="8"/>
  <c r="A315" i="8"/>
  <c r="A310" i="8"/>
  <c r="A28" i="8"/>
  <c r="A201" i="8"/>
  <c r="A48" i="8"/>
  <c r="A340" i="8"/>
  <c r="A162" i="8"/>
  <c r="A152" i="8"/>
  <c r="A29" i="8"/>
  <c r="A27" i="8"/>
  <c r="A69" i="8"/>
  <c r="A292" i="8"/>
  <c r="A9" i="8"/>
  <c r="A233" i="8"/>
  <c r="A31" i="8"/>
  <c r="A339" i="8"/>
  <c r="A71" i="8"/>
  <c r="A252" i="8"/>
  <c r="A226" i="8"/>
  <c r="A17" i="8"/>
  <c r="A316" i="8"/>
  <c r="A301" i="8"/>
  <c r="A291" i="8"/>
  <c r="A255" i="8"/>
  <c r="A262" i="8"/>
  <c r="A230" i="8"/>
  <c r="A10" i="8"/>
  <c r="A240" i="8"/>
  <c r="A72" i="8"/>
  <c r="A95" i="8"/>
  <c r="A121" i="8"/>
  <c r="A98" i="8"/>
  <c r="A328" i="8"/>
  <c r="A34" i="8"/>
  <c r="A103" i="8"/>
  <c r="A134" i="8"/>
  <c r="A311" i="8"/>
  <c r="A180" i="8"/>
  <c r="A277" i="8"/>
  <c r="A266" i="8"/>
  <c r="A58" i="8"/>
  <c r="A146" i="8"/>
  <c r="A150" i="8"/>
  <c r="A176" i="8"/>
  <c r="A55" i="8"/>
  <c r="A207" i="8"/>
  <c r="A236" i="8"/>
  <c r="A178" i="8"/>
  <c r="A135" i="8"/>
  <c r="A272" i="8"/>
  <c r="A229" i="8"/>
  <c r="A270" i="8"/>
  <c r="A140" i="8"/>
  <c r="A118" i="8"/>
  <c r="A331" i="8"/>
  <c r="A108" i="8"/>
  <c r="A249" i="8"/>
  <c r="A35" i="8"/>
  <c r="A11" i="8"/>
  <c r="A7" i="8"/>
  <c r="A53" i="8"/>
  <c r="A67" i="8"/>
  <c r="A119" i="8"/>
  <c r="A151" i="8"/>
  <c r="A77" i="8"/>
  <c r="A101" i="8"/>
  <c r="A115" i="8"/>
  <c r="A154" i="8"/>
  <c r="A319" i="8"/>
  <c r="A194" i="8"/>
  <c r="A78" i="8"/>
  <c r="A177" i="8"/>
  <c r="A123" i="8"/>
  <c r="A337" i="8"/>
  <c r="A12" i="8"/>
  <c r="A22" i="8"/>
  <c r="A96" i="8"/>
  <c r="A59" i="8"/>
  <c r="A228" i="8"/>
  <c r="A247" i="8"/>
  <c r="A141" i="8"/>
  <c r="A245" i="8"/>
  <c r="A305" i="8"/>
  <c r="A173" i="8"/>
  <c r="A44" i="8"/>
  <c r="A33" i="8"/>
  <c r="A220" i="8"/>
  <c r="A106" i="8"/>
  <c r="A225" i="8"/>
  <c r="A322" i="8"/>
  <c r="A97" i="8"/>
  <c r="A148" i="8"/>
  <c r="A37" i="8"/>
  <c r="A90" i="8"/>
  <c r="A142" i="8"/>
  <c r="A232" i="8"/>
  <c r="A279" i="8"/>
  <c r="A206" i="8"/>
  <c r="A242" i="8"/>
  <c r="A109" i="8"/>
  <c r="A216" i="8"/>
  <c r="A160" i="8"/>
  <c r="A143" i="8"/>
  <c r="A126" i="8"/>
  <c r="A327" i="8"/>
  <c r="A8" i="8"/>
  <c r="A244" i="8"/>
  <c r="A94" i="8"/>
  <c r="A114" i="8"/>
  <c r="A299" i="8"/>
  <c r="A283" i="8"/>
  <c r="A325" i="8"/>
  <c r="A161" i="8"/>
  <c r="A323" i="8"/>
  <c r="A138" i="8"/>
  <c r="A175" i="8"/>
  <c r="A338" i="8"/>
  <c r="A273" i="8"/>
  <c r="A208" i="8"/>
  <c r="A197" i="8"/>
  <c r="A107" i="8"/>
  <c r="A68" i="8"/>
  <c r="A263" i="8"/>
  <c r="A181" i="8"/>
  <c r="A74" i="8"/>
  <c r="A46" i="8"/>
  <c r="A153" i="8"/>
  <c r="A193" i="8"/>
  <c r="A99" i="8"/>
  <c r="A276" i="8"/>
  <c r="A4" i="8"/>
  <c r="A116" i="8"/>
  <c r="A66" i="8"/>
  <c r="A223" i="8"/>
  <c r="A258" i="8"/>
  <c r="A168" i="8"/>
  <c r="A24" i="8"/>
  <c r="A86" i="8"/>
  <c r="A129" i="8"/>
  <c r="A88" i="8"/>
  <c r="A317" i="8"/>
  <c r="A214" i="8"/>
  <c r="A65" i="8"/>
  <c r="A82" i="8"/>
  <c r="A145" i="8"/>
  <c r="A281" i="8"/>
  <c r="A128" i="8"/>
  <c r="A215" i="8"/>
  <c r="Q8" i="9" l="1"/>
  <c r="Q21" i="9"/>
  <c r="Q5" i="9"/>
  <c r="Q4" i="9"/>
  <c r="Q29" i="9"/>
  <c r="Q30" i="9"/>
  <c r="Q16" i="9"/>
  <c r="Q28" i="9"/>
  <c r="Q7" i="9"/>
  <c r="Q12" i="9"/>
  <c r="Q10" i="9"/>
  <c r="S2" i="11"/>
  <c r="Q13" i="9"/>
  <c r="Q26" i="9"/>
  <c r="Q22" i="9"/>
  <c r="Q25" i="9"/>
  <c r="Q6" i="9"/>
  <c r="Q14" i="9"/>
  <c r="Q20" i="9"/>
  <c r="Q23" i="9"/>
  <c r="Q3" i="9"/>
  <c r="Q27" i="9"/>
  <c r="Q31" i="9"/>
  <c r="Q18" i="9"/>
  <c r="Q15" i="9"/>
  <c r="Q11" i="9"/>
  <c r="Q19" i="9"/>
  <c r="Q32" i="9"/>
  <c r="Q9" i="9"/>
  <c r="Q17" i="9"/>
  <c r="Q24" i="9"/>
</calcChain>
</file>

<file path=xl/sharedStrings.xml><?xml version="1.0" encoding="utf-8"?>
<sst xmlns="http://schemas.openxmlformats.org/spreadsheetml/2006/main" count="10702" uniqueCount="145">
  <si>
    <t>GENDER</t>
  </si>
  <si>
    <t>GRADE</t>
  </si>
  <si>
    <t>OC_RATE</t>
  </si>
  <si>
    <t>PERFORM</t>
  </si>
  <si>
    <t>Y_GRADE</t>
  </si>
  <si>
    <t>AGE</t>
  </si>
  <si>
    <t>Y_SERVIC</t>
  </si>
  <si>
    <t>Female</t>
  </si>
  <si>
    <t>Male</t>
  </si>
  <si>
    <t>Employee ID</t>
  </si>
  <si>
    <t>RAND</t>
  </si>
  <si>
    <t>FUNCTION</t>
  </si>
  <si>
    <t>Finance</t>
  </si>
  <si>
    <t>HR</t>
  </si>
  <si>
    <t>Operations</t>
  </si>
  <si>
    <t>Internal Services</t>
  </si>
  <si>
    <t>Sales &amp; Marketing</t>
  </si>
  <si>
    <t>Strategy</t>
  </si>
  <si>
    <t>Rank 2</t>
  </si>
  <si>
    <t>Switzerland</t>
  </si>
  <si>
    <t>Sweden</t>
  </si>
  <si>
    <t>Spain</t>
  </si>
  <si>
    <t>Hong Kong</t>
  </si>
  <si>
    <t>Romania</t>
  </si>
  <si>
    <t>Lebanon</t>
  </si>
  <si>
    <t>Japan</t>
  </si>
  <si>
    <t>Italy</t>
  </si>
  <si>
    <t>Israel</t>
  </si>
  <si>
    <t>Russia</t>
  </si>
  <si>
    <t>Greece</t>
  </si>
  <si>
    <t>Germany</t>
  </si>
  <si>
    <t>France</t>
  </si>
  <si>
    <t>Netherlands</t>
  </si>
  <si>
    <t>Denmark</t>
  </si>
  <si>
    <t>China</t>
  </si>
  <si>
    <t>Canada</t>
  </si>
  <si>
    <t>United Kingdom</t>
  </si>
  <si>
    <t>Belgium</t>
  </si>
  <si>
    <t>United States</t>
  </si>
  <si>
    <t>Austria</t>
  </si>
  <si>
    <t>Nationality</t>
  </si>
  <si>
    <t>Malaysia</t>
  </si>
  <si>
    <t>Portugal</t>
  </si>
  <si>
    <t>Gender</t>
  </si>
  <si>
    <t>Job Level after FY20 promotions</t>
  </si>
  <si>
    <t>New hire FY20?</t>
  </si>
  <si>
    <t>FY20 Performance Rating</t>
  </si>
  <si>
    <t>Promotion in FY21?</t>
  </si>
  <si>
    <t>In base group for Promotion FY21</t>
  </si>
  <si>
    <t>Target hire balance</t>
  </si>
  <si>
    <t>FY20 leaver?</t>
  </si>
  <si>
    <t>In base group for turnover FY20</t>
  </si>
  <si>
    <t>Leaver FY</t>
  </si>
  <si>
    <t>FTE group</t>
  </si>
  <si>
    <t>Time type</t>
  </si>
  <si>
    <t>Job Level group PRA status</t>
  </si>
  <si>
    <t>Job Level group for PRA</t>
  </si>
  <si>
    <t>Time in Job Level @01.07.2020</t>
  </si>
  <si>
    <t>Job Level before FY20 promotions</t>
  </si>
  <si>
    <t>Promotion in FY20?</t>
  </si>
  <si>
    <t>FY19 Performance Rating</t>
  </si>
  <si>
    <t>Job Level after FY21 promotions</t>
  </si>
  <si>
    <t>Age group</t>
  </si>
  <si>
    <t>Age @01.07.2020</t>
  </si>
  <si>
    <t>Nationality 1</t>
  </si>
  <si>
    <t>Region group: nationality 1</t>
  </si>
  <si>
    <t>Broad region group: nationality 1</t>
  </si>
  <si>
    <t>Part Time</t>
  </si>
  <si>
    <t>Full Time</t>
  </si>
  <si>
    <t>20 to 29</t>
  </si>
  <si>
    <t>30 to 39</t>
  </si>
  <si>
    <t>40 to 49</t>
  </si>
  <si>
    <t>50 to 59</t>
  </si>
  <si>
    <t>60 to 69</t>
  </si>
  <si>
    <t>Europe</t>
  </si>
  <si>
    <t>Americas</t>
  </si>
  <si>
    <t>Asia Pacific</t>
  </si>
  <si>
    <t>Middle East</t>
  </si>
  <si>
    <t>Elsewhere</t>
  </si>
  <si>
    <t>Y</t>
  </si>
  <si>
    <t>Yes</t>
  </si>
  <si>
    <t>N</t>
  </si>
  <si>
    <t>No</t>
  </si>
  <si>
    <t>FY20</t>
  </si>
  <si>
    <t>Years since last hire</t>
  </si>
  <si>
    <t>Last hire date</t>
  </si>
  <si>
    <t>6 - Junior Officer</t>
  </si>
  <si>
    <t>4 - Manager</t>
  </si>
  <si>
    <t>3 - Senior Manager</t>
  </si>
  <si>
    <t>2 - Director</t>
  </si>
  <si>
    <t>1 - Executive</t>
  </si>
  <si>
    <t>2 - Director &amp; Strategy</t>
  </si>
  <si>
    <t>2 - Director &amp; Finance</t>
  </si>
  <si>
    <t>2 - Director &amp; HR</t>
  </si>
  <si>
    <t>2 - Director &amp; Internal Services</t>
  </si>
  <si>
    <t>3 - Senior Manager &amp; Internal Services</t>
  </si>
  <si>
    <t>2 - Director &amp; Operations</t>
  </si>
  <si>
    <t>3 - Senior Manager &amp; Sales &amp; Marketing</t>
  </si>
  <si>
    <t>2 - Director &amp; Sales &amp; Marketing</t>
  </si>
  <si>
    <t>3 - Senior Manager &amp; Finance</t>
  </si>
  <si>
    <t>3 - Senior Manager &amp; HR</t>
  </si>
  <si>
    <t>4 - Manager &amp; HR</t>
  </si>
  <si>
    <t>4 - Manager &amp; Internal Services</t>
  </si>
  <si>
    <t>3 - Senior Manager &amp; Operations</t>
  </si>
  <si>
    <t>4 - Manager &amp; Operations</t>
  </si>
  <si>
    <t>4 - Manager &amp; Sales &amp; Marketing</t>
  </si>
  <si>
    <t>3 - Senior Manager &amp; Strategy</t>
  </si>
  <si>
    <t>4 - Manager &amp; Finance</t>
  </si>
  <si>
    <t>4 - Manager &amp; Strategy</t>
  </si>
  <si>
    <t>6 - Junior Officer &amp; HR</t>
  </si>
  <si>
    <t>6 - Junior Officer &amp; Internal Services</t>
  </si>
  <si>
    <t>6 - Junior Officer &amp; Operations</t>
  </si>
  <si>
    <t>6 - Junior Officer &amp; Sales &amp; Marketing</t>
  </si>
  <si>
    <t>6 - Junior Officer &amp; Strategy</t>
  </si>
  <si>
    <t>6 - Junior Officer &amp; Finance</t>
  </si>
  <si>
    <t>M</t>
  </si>
  <si>
    <t>F</t>
  </si>
  <si>
    <t>Total</t>
  </si>
  <si>
    <t>Inconclusive</t>
  </si>
  <si>
    <t>Even</t>
  </si>
  <si>
    <t>Uneven - Men benefit</t>
  </si>
  <si>
    <t>5 - Senior Officer</t>
  </si>
  <si>
    <t>5 - Senior Officer &amp; Finance</t>
  </si>
  <si>
    <t>5 - Senior Officer &amp; HR</t>
  </si>
  <si>
    <t>5 - Senior Officer &amp; Internal Services</t>
  </si>
  <si>
    <t>5 - Senior Officer &amp; Operations</t>
  </si>
  <si>
    <t>5 - Senior Officer &amp; Sales &amp; Marketing</t>
  </si>
  <si>
    <t>5 - Senior Officer &amp; Strategy</t>
  </si>
  <si>
    <t>Rand</t>
  </si>
  <si>
    <t>16 to 19</t>
  </si>
  <si>
    <t>Department @01.07.2020</t>
  </si>
  <si>
    <t>Last Department in FY20</t>
  </si>
  <si>
    <t>Department &amp; JL group PRA status</t>
  </si>
  <si>
    <t>Department &amp; JL group for PRA</t>
  </si>
  <si>
    <t xml:space="preserve"> Junior Officer</t>
  </si>
  <si>
    <t xml:space="preserve"> Manager</t>
  </si>
  <si>
    <t xml:space="preserve"> Director</t>
  </si>
  <si>
    <t xml:space="preserve"> Senior Manager</t>
  </si>
  <si>
    <t xml:space="preserve"> Senior Officer</t>
  </si>
  <si>
    <t xml:space="preserve"> Executive</t>
  </si>
  <si>
    <t xml:space="preserve">  Senior Officer</t>
  </si>
  <si>
    <t>Position</t>
  </si>
  <si>
    <t>NOT AVAILABLE</t>
  </si>
  <si>
    <t>Position fy21</t>
  </si>
  <si>
    <t>Job Position fy20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</si>
</sst>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 Unicode MS"/>
    </font>
    <font>
      <sz val="10"/>
      <name val="Arial Unicode MS"/>
      <family val="2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1"/>
  <sheetViews>
    <sheetView tabSelected="1" topLeftCell="U278" workbookViewId="0">
      <selection activeCell="X7" sqref="X7"/>
    </sheetView>
  </sheetViews>
  <sheetFormatPr defaultRowHeight="13.2"/>
  <cols>
    <col min="1" max="1" width="11.44140625" bestFit="1" customWidth="1"/>
    <col min="2" max="2" width="8.88671875" customWidth="1"/>
    <col min="3" max="3" width="16.109375" customWidth="1"/>
    <col min="4" max="4" width="28.33203125" customWidth="1"/>
    <col min="5" max="5" width="19.88671875" customWidth="1"/>
    <col min="6" max="6" width="22.6640625" customWidth="1"/>
    <col min="7" max="7" width="21.109375" customWidth="1"/>
    <col min="8" max="8" width="31.88671875" customWidth="1"/>
    <col min="9" max="9" width="19.6640625" customWidth="1"/>
    <col min="10" max="10" width="17.6640625" customWidth="1"/>
    <col min="11" max="11" width="32.44140625" customWidth="1"/>
    <col min="12" max="12" width="26" customWidth="1"/>
    <col min="13" max="13" width="21.5546875" customWidth="1"/>
    <col min="14" max="14" width="23.88671875" customWidth="1"/>
    <col min="15" max="15" width="27.44140625" customWidth="1"/>
    <col min="16" max="16" width="25.77734375" customWidth="1"/>
    <col min="17" max="17" width="19.6640625" customWidth="1"/>
    <col min="18" max="18" width="12.44140625" customWidth="1"/>
    <col min="19" max="19" width="32.109375" customWidth="1"/>
    <col min="20" max="20" width="21.109375" customWidth="1"/>
    <col min="21" max="21" width="24.44140625" customWidth="1"/>
    <col min="22" max="22" width="26.109375" customWidth="1"/>
    <col min="23" max="23" width="16.6640625" customWidth="1"/>
    <col min="24" max="24" width="29.6640625" customWidth="1"/>
    <col min="25" max="25" width="20.44140625" customWidth="1"/>
    <col min="26" max="26" width="23.109375" customWidth="1"/>
    <col min="27" max="27" width="14.6640625" customWidth="1"/>
    <col min="28" max="28" width="15.44140625" customWidth="1"/>
    <col min="29" max="29" width="12.33203125" customWidth="1"/>
    <col min="30" max="30" width="25.6640625" customWidth="1"/>
    <col min="31" max="31" width="30.44140625" customWidth="1"/>
    <col min="32" max="32" width="16.6640625" customWidth="1"/>
    <col min="33" max="33" width="26.6640625" customWidth="1"/>
  </cols>
  <sheetData>
    <row r="1" spans="1:34">
      <c r="A1" t="s">
        <v>9</v>
      </c>
      <c r="B1" t="s">
        <v>43</v>
      </c>
      <c r="C1" t="s">
        <v>44</v>
      </c>
      <c r="D1" t="s">
        <v>144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130</v>
      </c>
      <c r="M1" t="s">
        <v>52</v>
      </c>
      <c r="N1" t="s">
        <v>61</v>
      </c>
      <c r="O1" t="s">
        <v>143</v>
      </c>
      <c r="P1" t="s">
        <v>131</v>
      </c>
      <c r="Q1" t="s">
        <v>53</v>
      </c>
      <c r="R1" t="s">
        <v>54</v>
      </c>
      <c r="S1" t="s">
        <v>132</v>
      </c>
      <c r="T1" t="s">
        <v>133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85</v>
      </c>
      <c r="AG1" t="s">
        <v>84</v>
      </c>
      <c r="AH1" t="s">
        <v>128</v>
      </c>
    </row>
    <row r="2" spans="1:34">
      <c r="A2">
        <v>1</v>
      </c>
      <c r="B2" t="s">
        <v>8</v>
      </c>
      <c r="C2">
        <v>6</v>
      </c>
      <c r="D2" s="4" t="s">
        <v>134</v>
      </c>
      <c r="E2" t="s">
        <v>81</v>
      </c>
      <c r="F2">
        <v>2</v>
      </c>
      <c r="G2" t="s">
        <v>82</v>
      </c>
      <c r="H2" t="s">
        <v>82</v>
      </c>
      <c r="I2" s="2">
        <v>0.5</v>
      </c>
      <c r="J2" t="s">
        <v>80</v>
      </c>
      <c r="K2" t="s">
        <v>79</v>
      </c>
      <c r="L2" t="s">
        <v>14</v>
      </c>
      <c r="M2" t="s">
        <v>83</v>
      </c>
      <c r="N2">
        <v>0</v>
      </c>
      <c r="O2" t="s">
        <v>142</v>
      </c>
      <c r="P2" t="s">
        <v>14</v>
      </c>
      <c r="Q2" s="1" t="s">
        <v>68</v>
      </c>
      <c r="R2" t="s">
        <v>68</v>
      </c>
      <c r="S2" t="e">
        <f>IF(T2="","",INDEX('Backing 4'!U:U,MATCH(T2,'Backing 4'!T:T,0)))</f>
        <v>#N/A</v>
      </c>
      <c r="T2" t="str">
        <f t="shared" ref="T2:T65" si="0">IF(O2="","",IF(D2="1 - Executive","",D2&amp;" &amp; "&amp;P2))</f>
        <v xml:space="preserve"> Junior Officer &amp; Operations</v>
      </c>
      <c r="U2" t="e">
        <f>IF(V2="","",INDEX('Backing 4'!Z:Z,MATCH(V2,'Backing 4'!Y:Y,0)))</f>
        <v>#N/A</v>
      </c>
      <c r="V2" t="str">
        <f t="shared" ref="V2:V65" si="1">IF(O2="","",IF(D2="1 - Executive","",D2))</f>
        <v xml:space="preserve"> Junior Officer</v>
      </c>
      <c r="W2">
        <v>3</v>
      </c>
      <c r="X2" t="str">
        <f>IF(E2="Y","",IF(Y2="Y",INDEX('Backing 2'!B:B,MATCH(D2,'Backing 2'!C:C,0)),D2))</f>
        <v xml:space="preserve"> Junior Officer</v>
      </c>
      <c r="Y2" t="s">
        <v>81</v>
      </c>
      <c r="Z2">
        <v>3</v>
      </c>
      <c r="AA2" t="s">
        <v>70</v>
      </c>
      <c r="AB2">
        <v>37</v>
      </c>
      <c r="AC2" t="s">
        <v>21</v>
      </c>
      <c r="AD2" t="s">
        <v>74</v>
      </c>
      <c r="AE2" t="s">
        <v>74</v>
      </c>
      <c r="AF2" s="3">
        <v>42826</v>
      </c>
      <c r="AG2">
        <v>3</v>
      </c>
      <c r="AH2">
        <f t="shared" ref="AH2:AH65" ca="1" si="2">RAND()</f>
        <v>3.182445146690227E-2</v>
      </c>
    </row>
    <row r="3" spans="1:34">
      <c r="A3">
        <v>2</v>
      </c>
      <c r="B3" t="s">
        <v>7</v>
      </c>
      <c r="C3">
        <v>4</v>
      </c>
      <c r="D3" t="s">
        <v>135</v>
      </c>
      <c r="E3" t="s">
        <v>81</v>
      </c>
      <c r="F3">
        <v>3</v>
      </c>
      <c r="G3" t="s">
        <v>82</v>
      </c>
      <c r="H3" t="s">
        <v>80</v>
      </c>
      <c r="I3" s="2">
        <v>0.5</v>
      </c>
      <c r="J3" t="s">
        <v>82</v>
      </c>
      <c r="K3" t="s">
        <v>79</v>
      </c>
      <c r="L3" t="s">
        <v>16</v>
      </c>
      <c r="M3">
        <v>0</v>
      </c>
      <c r="N3">
        <v>4</v>
      </c>
      <c r="O3" t="s">
        <v>135</v>
      </c>
      <c r="P3" t="s">
        <v>16</v>
      </c>
      <c r="Q3" s="1" t="s">
        <v>68</v>
      </c>
      <c r="R3" t="s">
        <v>68</v>
      </c>
      <c r="S3" t="e">
        <f>IF(T3="","",INDEX('Backing 4'!U:U,MATCH(T3,'Backing 4'!T:T,0)))</f>
        <v>#N/A</v>
      </c>
      <c r="T3" t="str">
        <f t="shared" si="0"/>
        <v xml:space="preserve"> Manager &amp; Sales &amp; Marketing</v>
      </c>
      <c r="U3" t="e">
        <f>IF(V3="","",INDEX('Backing 4'!Z:Z,MATCH(V3,'Backing 4'!Y:Y,0)))</f>
        <v>#N/A</v>
      </c>
      <c r="V3" t="str">
        <f t="shared" si="1"/>
        <v xml:space="preserve"> Manager</v>
      </c>
      <c r="W3">
        <v>3</v>
      </c>
      <c r="X3" t="str">
        <f>IF(E3="Y","",IF(Y3="Y",INDEX('Backing 2'!B:B,MATCH(D3,'Backing 2'!C:C,0)),D3))</f>
        <v xml:space="preserve"> Manager</v>
      </c>
      <c r="Y3" t="s">
        <v>81</v>
      </c>
      <c r="Z3">
        <v>0</v>
      </c>
      <c r="AA3" t="s">
        <v>70</v>
      </c>
      <c r="AB3">
        <v>37</v>
      </c>
      <c r="AC3" t="s">
        <v>30</v>
      </c>
      <c r="AD3" t="s">
        <v>74</v>
      </c>
      <c r="AE3" t="s">
        <v>74</v>
      </c>
      <c r="AF3" s="3">
        <v>42826</v>
      </c>
      <c r="AG3">
        <v>3</v>
      </c>
      <c r="AH3">
        <f t="shared" ca="1" si="2"/>
        <v>0.53506910388650297</v>
      </c>
    </row>
    <row r="4" spans="1:34">
      <c r="A4">
        <v>3</v>
      </c>
      <c r="B4" t="s">
        <v>8</v>
      </c>
      <c r="C4">
        <v>2</v>
      </c>
      <c r="D4" t="s">
        <v>136</v>
      </c>
      <c r="E4" t="s">
        <v>81</v>
      </c>
      <c r="F4">
        <v>2</v>
      </c>
      <c r="G4" t="s">
        <v>82</v>
      </c>
      <c r="H4" t="s">
        <v>80</v>
      </c>
      <c r="I4" s="2">
        <v>0.5</v>
      </c>
      <c r="J4" t="s">
        <v>82</v>
      </c>
      <c r="K4" t="s">
        <v>79</v>
      </c>
      <c r="L4" t="s">
        <v>17</v>
      </c>
      <c r="M4">
        <v>0</v>
      </c>
      <c r="N4">
        <v>2</v>
      </c>
      <c r="O4" t="s">
        <v>136</v>
      </c>
      <c r="P4" t="s">
        <v>17</v>
      </c>
      <c r="Q4" s="1" t="s">
        <v>68</v>
      </c>
      <c r="R4" t="s">
        <v>68</v>
      </c>
      <c r="S4" t="e">
        <f>IF(T4="","",INDEX('Backing 4'!U:U,MATCH(T4,'Backing 4'!T:T,0)))</f>
        <v>#N/A</v>
      </c>
      <c r="T4" t="str">
        <f t="shared" si="0"/>
        <v xml:space="preserve"> Director &amp; Strategy</v>
      </c>
      <c r="U4" t="s">
        <v>120</v>
      </c>
      <c r="V4" t="str">
        <f t="shared" si="1"/>
        <v xml:space="preserve"> Director</v>
      </c>
      <c r="W4">
        <v>3</v>
      </c>
      <c r="X4" t="str">
        <f>IF(E4="Y","",IF(Y4="Y",INDEX('Backing 2'!B:B,MATCH(D4,'Backing 2'!C:C,0)),D4))</f>
        <v xml:space="preserve"> Director</v>
      </c>
      <c r="Y4" t="s">
        <v>81</v>
      </c>
      <c r="Z4">
        <v>3</v>
      </c>
      <c r="AA4" t="s">
        <v>70</v>
      </c>
      <c r="AB4">
        <v>35</v>
      </c>
      <c r="AC4" t="s">
        <v>19</v>
      </c>
      <c r="AD4" t="s">
        <v>19</v>
      </c>
      <c r="AE4" t="s">
        <v>19</v>
      </c>
      <c r="AF4" s="3">
        <v>42095</v>
      </c>
      <c r="AG4">
        <v>5</v>
      </c>
      <c r="AH4">
        <f t="shared" ca="1" si="2"/>
        <v>0.61767753111089774</v>
      </c>
    </row>
    <row r="5" spans="1:34">
      <c r="A5">
        <v>4</v>
      </c>
      <c r="B5" t="s">
        <v>8</v>
      </c>
      <c r="C5">
        <v>4</v>
      </c>
      <c r="D5" t="s">
        <v>135</v>
      </c>
      <c r="E5" t="s">
        <v>81</v>
      </c>
      <c r="F5">
        <v>3</v>
      </c>
      <c r="G5" t="s">
        <v>82</v>
      </c>
      <c r="H5" t="s">
        <v>80</v>
      </c>
      <c r="I5" s="2">
        <v>0.5</v>
      </c>
      <c r="J5" t="s">
        <v>82</v>
      </c>
      <c r="K5" t="s">
        <v>79</v>
      </c>
      <c r="L5" t="s">
        <v>13</v>
      </c>
      <c r="M5">
        <v>0</v>
      </c>
      <c r="N5">
        <v>4</v>
      </c>
      <c r="O5" t="s">
        <v>135</v>
      </c>
      <c r="P5" t="s">
        <v>13</v>
      </c>
      <c r="Q5" s="1" t="s">
        <v>68</v>
      </c>
      <c r="R5" t="s">
        <v>68</v>
      </c>
      <c r="S5" t="e">
        <f>IF(T5="","",INDEX('Backing 4'!U:U,MATCH(T5,'Backing 4'!T:T,0)))</f>
        <v>#N/A</v>
      </c>
      <c r="T5" t="str">
        <f t="shared" si="0"/>
        <v xml:space="preserve"> Manager &amp; HR</v>
      </c>
      <c r="U5" t="e">
        <f>IF(V5="","",INDEX('Backing 4'!Z:Z,MATCH(V5,'Backing 4'!Y:Y,0)))</f>
        <v>#N/A</v>
      </c>
      <c r="V5" t="str">
        <f t="shared" si="1"/>
        <v xml:space="preserve"> Manager</v>
      </c>
      <c r="W5">
        <v>3</v>
      </c>
      <c r="X5" t="str">
        <f>IF(E5="Y","",IF(Y5="Y",INDEX('Backing 2'!B:B,MATCH(D5,'Backing 2'!C:C,0)),D5))</f>
        <v xml:space="preserve"> Manager</v>
      </c>
      <c r="Y5" t="s">
        <v>81</v>
      </c>
      <c r="Z5">
        <v>3</v>
      </c>
      <c r="AA5" t="s">
        <v>70</v>
      </c>
      <c r="AB5">
        <v>32</v>
      </c>
      <c r="AC5" t="s">
        <v>30</v>
      </c>
      <c r="AD5" t="s">
        <v>74</v>
      </c>
      <c r="AE5" t="s">
        <v>74</v>
      </c>
      <c r="AF5" s="3">
        <v>41000</v>
      </c>
      <c r="AG5">
        <v>8</v>
      </c>
      <c r="AH5">
        <f t="shared" ca="1" si="2"/>
        <v>0.54846764399237613</v>
      </c>
    </row>
    <row r="6" spans="1:34">
      <c r="A6">
        <v>5</v>
      </c>
      <c r="B6" t="s">
        <v>7</v>
      </c>
      <c r="C6">
        <v>6</v>
      </c>
      <c r="D6" t="s">
        <v>134</v>
      </c>
      <c r="E6" t="s">
        <v>81</v>
      </c>
      <c r="F6">
        <v>2</v>
      </c>
      <c r="G6" t="s">
        <v>82</v>
      </c>
      <c r="H6" t="s">
        <v>80</v>
      </c>
      <c r="I6" s="2">
        <v>0.5</v>
      </c>
      <c r="J6" t="s">
        <v>82</v>
      </c>
      <c r="K6" t="s">
        <v>79</v>
      </c>
      <c r="L6" t="s">
        <v>16</v>
      </c>
      <c r="M6">
        <v>0</v>
      </c>
      <c r="N6">
        <v>6</v>
      </c>
      <c r="O6" t="s">
        <v>134</v>
      </c>
      <c r="P6" t="s">
        <v>16</v>
      </c>
      <c r="Q6" s="1" t="s">
        <v>68</v>
      </c>
      <c r="R6" t="s">
        <v>68</v>
      </c>
      <c r="S6" t="e">
        <f>IF(T6="","",INDEX('Backing 4'!U:U,MATCH(T6,'Backing 4'!T:T,0)))</f>
        <v>#N/A</v>
      </c>
      <c r="T6" t="str">
        <f t="shared" si="0"/>
        <v xml:space="preserve"> Junior Officer &amp; Sales &amp; Marketing</v>
      </c>
      <c r="U6" t="e">
        <f>IF(V6="","",INDEX('Backing 4'!Z:Z,MATCH(V6,'Backing 4'!Y:Y,0)))</f>
        <v>#N/A</v>
      </c>
      <c r="V6" t="str">
        <f t="shared" si="1"/>
        <v xml:space="preserve"> Junior Officer</v>
      </c>
      <c r="W6">
        <v>1</v>
      </c>
      <c r="X6" t="str">
        <f>IF(E6="Y","",IF(Y6="Y",INDEX('Backing 2'!B:B,MATCH(D6,'Backing 2'!C:C,0)),D6))</f>
        <v xml:space="preserve"> Junior Officer</v>
      </c>
      <c r="Y6" t="s">
        <v>81</v>
      </c>
      <c r="Z6">
        <v>0</v>
      </c>
      <c r="AA6" t="s">
        <v>69</v>
      </c>
      <c r="AB6">
        <v>28</v>
      </c>
      <c r="AC6" t="s">
        <v>19</v>
      </c>
      <c r="AD6" t="s">
        <v>19</v>
      </c>
      <c r="AE6" t="s">
        <v>19</v>
      </c>
      <c r="AF6" s="3">
        <v>43556</v>
      </c>
      <c r="AG6">
        <v>1</v>
      </c>
      <c r="AH6">
        <f t="shared" ca="1" si="2"/>
        <v>0.60822901998621903</v>
      </c>
    </row>
    <row r="7" spans="1:34">
      <c r="A7">
        <v>6</v>
      </c>
      <c r="B7" t="s">
        <v>7</v>
      </c>
      <c r="C7">
        <v>4</v>
      </c>
      <c r="D7" t="s">
        <v>135</v>
      </c>
      <c r="E7" t="s">
        <v>79</v>
      </c>
      <c r="F7">
        <v>0</v>
      </c>
      <c r="G7" t="s">
        <v>82</v>
      </c>
      <c r="H7" t="s">
        <v>82</v>
      </c>
      <c r="I7" s="2">
        <v>0.5</v>
      </c>
      <c r="J7" t="s">
        <v>82</v>
      </c>
      <c r="K7" t="s">
        <v>81</v>
      </c>
      <c r="L7" t="s">
        <v>15</v>
      </c>
      <c r="M7">
        <v>0</v>
      </c>
      <c r="N7">
        <v>4</v>
      </c>
      <c r="O7" t="s">
        <v>135</v>
      </c>
      <c r="P7" t="s">
        <v>15</v>
      </c>
      <c r="Q7" s="1" t="s">
        <v>68</v>
      </c>
      <c r="R7" t="s">
        <v>68</v>
      </c>
      <c r="S7" t="e">
        <f>IF(T7="","",INDEX('Backing 4'!U:U,MATCH(T7,'Backing 4'!T:T,0)))</f>
        <v>#N/A</v>
      </c>
      <c r="T7" t="str">
        <f t="shared" si="0"/>
        <v xml:space="preserve"> Manager &amp; Internal Services</v>
      </c>
      <c r="U7" t="e">
        <f>IF(V7="","",INDEX('Backing 4'!Z:Z,MATCH(V7,'Backing 4'!Y:Y,0)))</f>
        <v>#N/A</v>
      </c>
      <c r="V7" t="str">
        <f t="shared" si="1"/>
        <v xml:space="preserve"> Manager</v>
      </c>
      <c r="W7">
        <v>0</v>
      </c>
      <c r="X7" t="str">
        <f>IF(E7="Y","",IF(Y7="Y",INDEX('Backing 2'!B:B,MATCH(D7,'Backing 2'!C:C,0)),D7))</f>
        <v/>
      </c>
      <c r="Y7" t="s">
        <v>81</v>
      </c>
      <c r="Z7">
        <v>0</v>
      </c>
      <c r="AA7" t="s">
        <v>71</v>
      </c>
      <c r="AB7">
        <v>42</v>
      </c>
      <c r="AC7" t="s">
        <v>26</v>
      </c>
      <c r="AD7" t="s">
        <v>74</v>
      </c>
      <c r="AE7" t="s">
        <v>74</v>
      </c>
      <c r="AF7" s="3">
        <v>43922</v>
      </c>
      <c r="AG7">
        <v>0</v>
      </c>
      <c r="AH7">
        <f t="shared" ca="1" si="2"/>
        <v>0.20159607871889007</v>
      </c>
    </row>
    <row r="8" spans="1:34">
      <c r="A8">
        <v>7</v>
      </c>
      <c r="B8" t="s">
        <v>8</v>
      </c>
      <c r="C8">
        <v>3</v>
      </c>
      <c r="D8" t="s">
        <v>137</v>
      </c>
      <c r="E8" t="s">
        <v>79</v>
      </c>
      <c r="F8">
        <v>0</v>
      </c>
      <c r="G8" t="s">
        <v>82</v>
      </c>
      <c r="H8" t="s">
        <v>82</v>
      </c>
      <c r="I8" s="2">
        <v>0.5</v>
      </c>
      <c r="J8" t="s">
        <v>82</v>
      </c>
      <c r="K8" t="s">
        <v>81</v>
      </c>
      <c r="L8" t="s">
        <v>14</v>
      </c>
      <c r="M8">
        <v>0</v>
      </c>
      <c r="N8">
        <v>3</v>
      </c>
      <c r="O8" t="s">
        <v>137</v>
      </c>
      <c r="P8" t="s">
        <v>14</v>
      </c>
      <c r="Q8" s="1" t="s">
        <v>68</v>
      </c>
      <c r="R8" t="s">
        <v>68</v>
      </c>
      <c r="S8" t="e">
        <f>IF(T8="","",INDEX('Backing 4'!U:U,MATCH(T8,'Backing 4'!T:T,0)))</f>
        <v>#N/A</v>
      </c>
      <c r="T8" t="str">
        <f t="shared" si="0"/>
        <v xml:space="preserve"> Senior Manager &amp; Operations</v>
      </c>
      <c r="U8" t="e">
        <f>IF(V8="","",INDEX('Backing 4'!Z:Z,MATCH(V8,'Backing 4'!Y:Y,0)))</f>
        <v>#N/A</v>
      </c>
      <c r="V8" t="str">
        <f t="shared" si="1"/>
        <v xml:space="preserve"> Senior Manager</v>
      </c>
      <c r="W8">
        <v>0</v>
      </c>
      <c r="X8" t="str">
        <f>IF(E8="Y","",IF(Y8="Y",INDEX('Backing 2'!B:B,MATCH(D8,'Backing 2'!C:C,0)),D8))</f>
        <v/>
      </c>
      <c r="Y8" t="s">
        <v>81</v>
      </c>
      <c r="Z8">
        <v>0</v>
      </c>
      <c r="AA8" t="s">
        <v>70</v>
      </c>
      <c r="AB8">
        <v>35</v>
      </c>
      <c r="AC8" t="s">
        <v>26</v>
      </c>
      <c r="AD8" t="s">
        <v>74</v>
      </c>
      <c r="AE8" t="s">
        <v>74</v>
      </c>
      <c r="AF8" s="3">
        <v>43922</v>
      </c>
      <c r="AG8">
        <v>0</v>
      </c>
      <c r="AH8">
        <f t="shared" ca="1" si="2"/>
        <v>0.25034098207417821</v>
      </c>
    </row>
    <row r="9" spans="1:34">
      <c r="A9">
        <v>8</v>
      </c>
      <c r="B9" t="s">
        <v>7</v>
      </c>
      <c r="C9">
        <v>5</v>
      </c>
      <c r="D9" t="s">
        <v>138</v>
      </c>
      <c r="E9" t="s">
        <v>81</v>
      </c>
      <c r="F9">
        <v>2</v>
      </c>
      <c r="G9" t="s">
        <v>82</v>
      </c>
      <c r="H9" t="s">
        <v>80</v>
      </c>
      <c r="I9" s="2">
        <v>0.5</v>
      </c>
      <c r="J9" t="s">
        <v>82</v>
      </c>
      <c r="K9" t="s">
        <v>79</v>
      </c>
      <c r="L9" t="s">
        <v>13</v>
      </c>
      <c r="M9">
        <v>0</v>
      </c>
      <c r="N9">
        <v>5</v>
      </c>
      <c r="O9" t="s">
        <v>138</v>
      </c>
      <c r="P9" t="s">
        <v>13</v>
      </c>
      <c r="Q9" s="1" t="s">
        <v>68</v>
      </c>
      <c r="R9" t="s">
        <v>68</v>
      </c>
      <c r="S9" t="e">
        <f>IF(T9="","",INDEX('Backing 4'!U:U,MATCH(T9,'Backing 4'!T:T,0)))</f>
        <v>#N/A</v>
      </c>
      <c r="T9" t="str">
        <f t="shared" si="0"/>
        <v xml:space="preserve"> Senior Officer &amp; HR</v>
      </c>
      <c r="U9" t="e">
        <f>IF(V9="","",INDEX('Backing 4'!Z:Z,MATCH(V9,'Backing 4'!Y:Y,0)))</f>
        <v>#N/A</v>
      </c>
      <c r="V9" t="str">
        <f t="shared" si="1"/>
        <v xml:space="preserve"> Senior Officer</v>
      </c>
      <c r="W9">
        <v>3</v>
      </c>
      <c r="X9" t="str">
        <f>IF(E9="Y","",IF(Y9="Y",INDEX('Backing 2'!B:B,MATCH(D9,'Backing 2'!C:C,0)),D9))</f>
        <v xml:space="preserve"> Senior Officer</v>
      </c>
      <c r="Y9" t="s">
        <v>81</v>
      </c>
      <c r="Z9">
        <v>3</v>
      </c>
      <c r="AA9" t="s">
        <v>70</v>
      </c>
      <c r="AB9">
        <v>34</v>
      </c>
      <c r="AC9" t="s">
        <v>19</v>
      </c>
      <c r="AD9" t="s">
        <v>19</v>
      </c>
      <c r="AE9" t="s">
        <v>19</v>
      </c>
      <c r="AF9" s="3">
        <v>41365</v>
      </c>
      <c r="AG9">
        <v>7</v>
      </c>
      <c r="AH9">
        <f t="shared" ca="1" si="2"/>
        <v>0.34301920028002419</v>
      </c>
    </row>
    <row r="10" spans="1:34">
      <c r="A10">
        <v>9</v>
      </c>
      <c r="B10" t="s">
        <v>7</v>
      </c>
      <c r="C10">
        <v>6</v>
      </c>
      <c r="D10" t="s">
        <v>134</v>
      </c>
      <c r="E10" t="s">
        <v>81</v>
      </c>
      <c r="F10">
        <v>3</v>
      </c>
      <c r="G10" t="s">
        <v>82</v>
      </c>
      <c r="H10" t="s">
        <v>80</v>
      </c>
      <c r="I10" s="2">
        <v>0.5</v>
      </c>
      <c r="J10" t="s">
        <v>82</v>
      </c>
      <c r="K10" t="s">
        <v>79</v>
      </c>
      <c r="L10" t="s">
        <v>16</v>
      </c>
      <c r="M10">
        <v>0</v>
      </c>
      <c r="N10">
        <v>6</v>
      </c>
      <c r="O10" t="s">
        <v>134</v>
      </c>
      <c r="P10" t="s">
        <v>16</v>
      </c>
      <c r="Q10" s="1" t="s">
        <v>68</v>
      </c>
      <c r="R10" t="s">
        <v>68</v>
      </c>
      <c r="S10" t="e">
        <f>IF(T10="","",INDEX('Backing 4'!U:U,MATCH(T10,'Backing 4'!T:T,0)))</f>
        <v>#N/A</v>
      </c>
      <c r="T10" t="str">
        <f t="shared" si="0"/>
        <v xml:space="preserve"> Junior Officer &amp; Sales &amp; Marketing</v>
      </c>
      <c r="U10" t="e">
        <f>IF(V10="","",INDEX('Backing 4'!Z:Z,MATCH(V10,'Backing 4'!Y:Y,0)))</f>
        <v>#N/A</v>
      </c>
      <c r="V10" t="str">
        <f t="shared" si="1"/>
        <v xml:space="preserve"> Junior Officer</v>
      </c>
      <c r="W10">
        <v>1</v>
      </c>
      <c r="X10" t="str">
        <f>IF(E10="Y","",IF(Y10="Y",INDEX('Backing 2'!B:B,MATCH(D10,'Backing 2'!C:C,0)),D10))</f>
        <v xml:space="preserve"> Junior Officer</v>
      </c>
      <c r="Y10" t="s">
        <v>81</v>
      </c>
      <c r="Z10">
        <v>0</v>
      </c>
      <c r="AA10" t="s">
        <v>69</v>
      </c>
      <c r="AB10">
        <v>26</v>
      </c>
      <c r="AC10" t="s">
        <v>38</v>
      </c>
      <c r="AD10" t="s">
        <v>75</v>
      </c>
      <c r="AE10" t="s">
        <v>78</v>
      </c>
      <c r="AF10" s="3">
        <v>43556</v>
      </c>
      <c r="AG10">
        <v>1</v>
      </c>
      <c r="AH10">
        <f t="shared" ca="1" si="2"/>
        <v>0.90030771146009714</v>
      </c>
    </row>
    <row r="11" spans="1:34">
      <c r="A11">
        <v>10</v>
      </c>
      <c r="B11" t="s">
        <v>8</v>
      </c>
      <c r="C11">
        <v>6</v>
      </c>
      <c r="D11" t="s">
        <v>134</v>
      </c>
      <c r="E11" t="s">
        <v>81</v>
      </c>
      <c r="F11">
        <v>3</v>
      </c>
      <c r="G11" t="s">
        <v>82</v>
      </c>
      <c r="H11" t="s">
        <v>80</v>
      </c>
      <c r="I11" s="2">
        <v>0.5</v>
      </c>
      <c r="J11" t="s">
        <v>82</v>
      </c>
      <c r="K11" t="s">
        <v>79</v>
      </c>
      <c r="L11" t="s">
        <v>15</v>
      </c>
      <c r="M11">
        <v>0</v>
      </c>
      <c r="N11">
        <v>6</v>
      </c>
      <c r="O11" t="s">
        <v>134</v>
      </c>
      <c r="P11" t="s">
        <v>15</v>
      </c>
      <c r="Q11" s="1" t="s">
        <v>68</v>
      </c>
      <c r="R11" t="s">
        <v>68</v>
      </c>
      <c r="S11" t="e">
        <f>IF(T11="","",INDEX('Backing 4'!U:U,MATCH(T11,'Backing 4'!T:T,0)))</f>
        <v>#N/A</v>
      </c>
      <c r="T11" t="str">
        <f t="shared" si="0"/>
        <v xml:space="preserve"> Junior Officer &amp; Internal Services</v>
      </c>
      <c r="U11" t="e">
        <f>IF(V11="","",INDEX('Backing 4'!Z:Z,MATCH(V11,'Backing 4'!Y:Y,0)))</f>
        <v>#N/A</v>
      </c>
      <c r="V11" t="str">
        <f t="shared" si="1"/>
        <v xml:space="preserve"> Junior Officer</v>
      </c>
      <c r="W11">
        <v>2</v>
      </c>
      <c r="X11" t="str">
        <f>IF(E11="Y","",IF(Y11="Y",INDEX('Backing 2'!B:B,MATCH(D11,'Backing 2'!C:C,0)),D11))</f>
        <v xml:space="preserve"> Junior Officer</v>
      </c>
      <c r="Y11" t="s">
        <v>81</v>
      </c>
      <c r="Z11">
        <v>3</v>
      </c>
      <c r="AA11" t="s">
        <v>69</v>
      </c>
      <c r="AB11">
        <v>24</v>
      </c>
      <c r="AC11" t="s">
        <v>19</v>
      </c>
      <c r="AD11" t="s">
        <v>19</v>
      </c>
      <c r="AE11" t="s">
        <v>19</v>
      </c>
      <c r="AF11" s="3">
        <v>43191</v>
      </c>
      <c r="AG11">
        <v>2</v>
      </c>
      <c r="AH11">
        <f t="shared" ca="1" si="2"/>
        <v>0.86170496084420356</v>
      </c>
    </row>
    <row r="12" spans="1:34">
      <c r="A12">
        <v>11</v>
      </c>
      <c r="B12" t="s">
        <v>8</v>
      </c>
      <c r="C12">
        <v>4</v>
      </c>
      <c r="D12" t="s">
        <v>135</v>
      </c>
      <c r="E12" t="s">
        <v>81</v>
      </c>
      <c r="F12">
        <v>3</v>
      </c>
      <c r="G12" t="s">
        <v>82</v>
      </c>
      <c r="H12" t="s">
        <v>80</v>
      </c>
      <c r="I12" s="2">
        <v>0.5</v>
      </c>
      <c r="J12" t="s">
        <v>82</v>
      </c>
      <c r="K12" t="s">
        <v>79</v>
      </c>
      <c r="L12" t="s">
        <v>14</v>
      </c>
      <c r="M12">
        <v>0</v>
      </c>
      <c r="N12">
        <v>4</v>
      </c>
      <c r="O12" t="s">
        <v>135</v>
      </c>
      <c r="P12" t="s">
        <v>14</v>
      </c>
      <c r="Q12" s="1" t="s">
        <v>68</v>
      </c>
      <c r="R12" t="s">
        <v>68</v>
      </c>
      <c r="S12" t="e">
        <f>IF(T12="","",INDEX('Backing 4'!U:U,MATCH(T12,'Backing 4'!T:T,0)))</f>
        <v>#N/A</v>
      </c>
      <c r="T12" t="str">
        <f t="shared" si="0"/>
        <v xml:space="preserve"> Manager &amp; Operations</v>
      </c>
      <c r="U12" t="e">
        <f>IF(V12="","",INDEX('Backing 4'!Z:Z,MATCH(V12,'Backing 4'!Y:Y,0)))</f>
        <v>#N/A</v>
      </c>
      <c r="V12" t="str">
        <f t="shared" si="1"/>
        <v xml:space="preserve"> Manager</v>
      </c>
      <c r="W12">
        <v>2</v>
      </c>
      <c r="X12" t="str">
        <f>IF(E12="Y","",IF(Y12="Y",INDEX('Backing 2'!B:B,MATCH(D12,'Backing 2'!C:C,0)),D12))</f>
        <v xml:space="preserve"> Manager</v>
      </c>
      <c r="Y12" t="s">
        <v>81</v>
      </c>
      <c r="Z12">
        <v>2</v>
      </c>
      <c r="AA12" t="s">
        <v>70</v>
      </c>
      <c r="AB12">
        <v>34</v>
      </c>
      <c r="AC12" t="s">
        <v>19</v>
      </c>
      <c r="AD12" t="s">
        <v>19</v>
      </c>
      <c r="AE12" t="s">
        <v>19</v>
      </c>
      <c r="AF12" s="3">
        <v>40634</v>
      </c>
      <c r="AG12">
        <v>9</v>
      </c>
      <c r="AH12">
        <f t="shared" ca="1" si="2"/>
        <v>0.83521973539803174</v>
      </c>
    </row>
    <row r="13" spans="1:34">
      <c r="A13">
        <v>12</v>
      </c>
      <c r="B13" t="s">
        <v>7</v>
      </c>
      <c r="C13">
        <v>6</v>
      </c>
      <c r="D13" t="s">
        <v>134</v>
      </c>
      <c r="E13" t="s">
        <v>81</v>
      </c>
      <c r="F13">
        <v>2</v>
      </c>
      <c r="G13" t="s">
        <v>80</v>
      </c>
      <c r="H13" t="s">
        <v>80</v>
      </c>
      <c r="I13" s="2">
        <v>0.5</v>
      </c>
      <c r="J13" t="s">
        <v>82</v>
      </c>
      <c r="K13" t="s">
        <v>79</v>
      </c>
      <c r="L13" t="s">
        <v>17</v>
      </c>
      <c r="M13">
        <v>0</v>
      </c>
      <c r="N13">
        <v>5</v>
      </c>
      <c r="O13" t="s">
        <v>138</v>
      </c>
      <c r="P13" t="s">
        <v>17</v>
      </c>
      <c r="Q13" s="1" t="s">
        <v>68</v>
      </c>
      <c r="R13" t="s">
        <v>68</v>
      </c>
      <c r="S13" t="e">
        <f>IF(T13="","",INDEX('Backing 4'!U:U,MATCH(T13,'Backing 4'!T:T,0)))</f>
        <v>#N/A</v>
      </c>
      <c r="T13" t="str">
        <f t="shared" si="0"/>
        <v xml:space="preserve"> Junior Officer &amp; Strategy</v>
      </c>
      <c r="U13" t="e">
        <f>IF(V13="","",INDEX('Backing 4'!Z:Z,MATCH(V13,'Backing 4'!Y:Y,0)))</f>
        <v>#N/A</v>
      </c>
      <c r="V13" t="str">
        <f t="shared" si="1"/>
        <v xml:space="preserve"> Junior Officer</v>
      </c>
      <c r="W13">
        <v>3</v>
      </c>
      <c r="X13" t="str">
        <f>IF(E13="Y","",IF(Y13="Y",INDEX('Backing 2'!B:B,MATCH(D13,'Backing 2'!C:C,0)),D13))</f>
        <v xml:space="preserve"> Junior Officer</v>
      </c>
      <c r="Y13" t="s">
        <v>81</v>
      </c>
      <c r="Z13">
        <v>3</v>
      </c>
      <c r="AA13" t="s">
        <v>70</v>
      </c>
      <c r="AB13">
        <v>34</v>
      </c>
      <c r="AC13" t="s">
        <v>31</v>
      </c>
      <c r="AD13" t="s">
        <v>74</v>
      </c>
      <c r="AE13" t="s">
        <v>74</v>
      </c>
      <c r="AF13" s="3">
        <v>42826</v>
      </c>
      <c r="AG13">
        <v>3</v>
      </c>
      <c r="AH13">
        <f t="shared" ca="1" si="2"/>
        <v>0.94991731565278326</v>
      </c>
    </row>
    <row r="14" spans="1:34">
      <c r="A14">
        <v>13</v>
      </c>
      <c r="B14" t="s">
        <v>8</v>
      </c>
      <c r="C14">
        <v>5</v>
      </c>
      <c r="D14" t="s">
        <v>138</v>
      </c>
      <c r="E14" t="s">
        <v>81</v>
      </c>
      <c r="F14">
        <v>2</v>
      </c>
      <c r="G14" t="s">
        <v>82</v>
      </c>
      <c r="H14" t="s">
        <v>80</v>
      </c>
      <c r="I14" s="2">
        <v>0.5</v>
      </c>
      <c r="J14" t="s">
        <v>82</v>
      </c>
      <c r="K14" t="s">
        <v>79</v>
      </c>
      <c r="L14" t="s">
        <v>14</v>
      </c>
      <c r="M14">
        <v>0</v>
      </c>
      <c r="N14">
        <v>5</v>
      </c>
      <c r="O14" t="s">
        <v>138</v>
      </c>
      <c r="P14" t="s">
        <v>14</v>
      </c>
      <c r="Q14" s="1" t="s">
        <v>68</v>
      </c>
      <c r="R14" t="s">
        <v>68</v>
      </c>
      <c r="S14" t="e">
        <f>IF(T14="","",INDEX('Backing 4'!U:U,MATCH(T14,'Backing 4'!T:T,0)))</f>
        <v>#N/A</v>
      </c>
      <c r="T14" t="str">
        <f t="shared" si="0"/>
        <v xml:space="preserve"> Senior Officer &amp; Operations</v>
      </c>
      <c r="U14" t="e">
        <f>IF(V14="","",INDEX('Backing 4'!Z:Z,MATCH(V14,'Backing 4'!Y:Y,0)))</f>
        <v>#N/A</v>
      </c>
      <c r="V14" t="str">
        <f t="shared" si="1"/>
        <v xml:space="preserve"> Senior Officer</v>
      </c>
      <c r="W14">
        <v>3</v>
      </c>
      <c r="X14" t="str">
        <f>IF(E14="Y","",IF(Y14="Y",INDEX('Backing 2'!B:B,MATCH(D14,'Backing 2'!C:C,0)),D14))</f>
        <v xml:space="preserve"> Senior Officer</v>
      </c>
      <c r="Y14" t="s">
        <v>81</v>
      </c>
      <c r="Z14">
        <v>3</v>
      </c>
      <c r="AA14" t="s">
        <v>69</v>
      </c>
      <c r="AB14">
        <v>29</v>
      </c>
      <c r="AC14" t="s">
        <v>30</v>
      </c>
      <c r="AD14" t="s">
        <v>74</v>
      </c>
      <c r="AE14" t="s">
        <v>74</v>
      </c>
      <c r="AF14" s="3">
        <v>42095</v>
      </c>
      <c r="AG14">
        <v>5</v>
      </c>
      <c r="AH14">
        <f t="shared" ca="1" si="2"/>
        <v>0.7611003275477477</v>
      </c>
    </row>
    <row r="15" spans="1:34">
      <c r="A15">
        <v>14</v>
      </c>
      <c r="B15" t="s">
        <v>8</v>
      </c>
      <c r="C15">
        <v>6</v>
      </c>
      <c r="D15" t="s">
        <v>134</v>
      </c>
      <c r="E15" t="s">
        <v>81</v>
      </c>
      <c r="F15">
        <v>2</v>
      </c>
      <c r="G15" t="s">
        <v>82</v>
      </c>
      <c r="H15" t="s">
        <v>80</v>
      </c>
      <c r="I15" s="2">
        <v>0.5</v>
      </c>
      <c r="J15" t="s">
        <v>82</v>
      </c>
      <c r="K15" t="s">
        <v>79</v>
      </c>
      <c r="L15" t="s">
        <v>14</v>
      </c>
      <c r="M15">
        <v>0</v>
      </c>
      <c r="N15">
        <v>6</v>
      </c>
      <c r="O15" t="s">
        <v>134</v>
      </c>
      <c r="P15" t="s">
        <v>14</v>
      </c>
      <c r="Q15" s="1" t="s">
        <v>68</v>
      </c>
      <c r="R15" t="s">
        <v>68</v>
      </c>
      <c r="S15" t="e">
        <f>IF(T15="","",INDEX('Backing 4'!U:U,MATCH(T15,'Backing 4'!T:T,0)))</f>
        <v>#N/A</v>
      </c>
      <c r="T15" t="str">
        <f t="shared" si="0"/>
        <v xml:space="preserve"> Junior Officer &amp; Operations</v>
      </c>
      <c r="U15" t="e">
        <f>IF(V15="","",INDEX('Backing 4'!Z:Z,MATCH(V15,'Backing 4'!Y:Y,0)))</f>
        <v>#N/A</v>
      </c>
      <c r="V15" t="str">
        <f t="shared" si="1"/>
        <v xml:space="preserve"> Junior Officer</v>
      </c>
      <c r="W15">
        <v>3</v>
      </c>
      <c r="X15" t="str">
        <f>IF(E15="Y","",IF(Y15="Y",INDEX('Backing 2'!B:B,MATCH(D15,'Backing 2'!C:C,0)),D15))</f>
        <v xml:space="preserve"> Junior Officer</v>
      </c>
      <c r="Y15" t="s">
        <v>81</v>
      </c>
      <c r="Z15">
        <v>2</v>
      </c>
      <c r="AA15" t="s">
        <v>69</v>
      </c>
      <c r="AB15">
        <v>20</v>
      </c>
      <c r="AC15" t="s">
        <v>19</v>
      </c>
      <c r="AD15" t="s">
        <v>19</v>
      </c>
      <c r="AE15" t="s">
        <v>19</v>
      </c>
      <c r="AF15" s="3">
        <v>42826</v>
      </c>
      <c r="AG15">
        <v>3</v>
      </c>
      <c r="AH15">
        <f t="shared" ca="1" si="2"/>
        <v>0.79949266129257235</v>
      </c>
    </row>
    <row r="16" spans="1:34">
      <c r="A16">
        <v>15</v>
      </c>
      <c r="B16" t="s">
        <v>8</v>
      </c>
      <c r="C16">
        <v>6</v>
      </c>
      <c r="D16" s="4" t="s">
        <v>134</v>
      </c>
      <c r="E16" t="s">
        <v>81</v>
      </c>
      <c r="F16">
        <v>3</v>
      </c>
      <c r="G16" t="s">
        <v>82</v>
      </c>
      <c r="H16" t="s">
        <v>82</v>
      </c>
      <c r="I16" s="2">
        <v>0.5</v>
      </c>
      <c r="J16" t="s">
        <v>80</v>
      </c>
      <c r="K16" t="s">
        <v>79</v>
      </c>
      <c r="L16" t="s">
        <v>15</v>
      </c>
      <c r="M16" t="s">
        <v>83</v>
      </c>
      <c r="N16">
        <v>0</v>
      </c>
      <c r="O16" t="s">
        <v>142</v>
      </c>
      <c r="P16" t="s">
        <v>15</v>
      </c>
      <c r="Q16" s="1" t="s">
        <v>68</v>
      </c>
      <c r="R16" t="s">
        <v>68</v>
      </c>
      <c r="S16" t="e">
        <f>IF(T16="","",INDEX('Backing 4'!U:U,MATCH(T16,'Backing 4'!T:T,0)))</f>
        <v>#N/A</v>
      </c>
      <c r="T16" t="str">
        <f t="shared" si="0"/>
        <v xml:space="preserve"> Junior Officer &amp; Internal Services</v>
      </c>
      <c r="U16" t="e">
        <f>IF(V16="","",INDEX('Backing 4'!Z:Z,MATCH(V16,'Backing 4'!Y:Y,0)))</f>
        <v>#N/A</v>
      </c>
      <c r="V16" t="str">
        <f t="shared" si="1"/>
        <v xml:space="preserve"> Junior Officer</v>
      </c>
      <c r="W16">
        <v>1</v>
      </c>
      <c r="X16" t="str">
        <f>IF(E16="Y","",IF(Y16="Y",INDEX('Backing 2'!B:B,MATCH(D16,'Backing 2'!C:C,0)),D16))</f>
        <v xml:space="preserve"> Junior Officer</v>
      </c>
      <c r="Y16" t="s">
        <v>81</v>
      </c>
      <c r="Z16">
        <v>0</v>
      </c>
      <c r="AA16" t="s">
        <v>69</v>
      </c>
      <c r="AB16">
        <v>28</v>
      </c>
      <c r="AC16" t="s">
        <v>31</v>
      </c>
      <c r="AD16" t="s">
        <v>74</v>
      </c>
      <c r="AE16" t="s">
        <v>74</v>
      </c>
      <c r="AF16" s="3">
        <v>43556</v>
      </c>
      <c r="AG16">
        <v>1</v>
      </c>
      <c r="AH16">
        <f t="shared" ca="1" si="2"/>
        <v>0.86687828211951823</v>
      </c>
    </row>
    <row r="17" spans="1:34">
      <c r="A17">
        <v>16</v>
      </c>
      <c r="B17" t="s">
        <v>8</v>
      </c>
      <c r="C17">
        <v>4</v>
      </c>
      <c r="D17" t="s">
        <v>135</v>
      </c>
      <c r="E17" t="s">
        <v>81</v>
      </c>
      <c r="F17">
        <v>3</v>
      </c>
      <c r="G17" t="s">
        <v>82</v>
      </c>
      <c r="H17" t="s">
        <v>80</v>
      </c>
      <c r="I17" s="2">
        <v>0.5</v>
      </c>
      <c r="J17" t="s">
        <v>82</v>
      </c>
      <c r="K17" t="s">
        <v>79</v>
      </c>
      <c r="L17" t="s">
        <v>17</v>
      </c>
      <c r="M17">
        <v>0</v>
      </c>
      <c r="N17">
        <v>4</v>
      </c>
      <c r="O17" t="s">
        <v>135</v>
      </c>
      <c r="P17" t="s">
        <v>17</v>
      </c>
      <c r="Q17" s="1" t="s">
        <v>68</v>
      </c>
      <c r="R17" t="s">
        <v>68</v>
      </c>
      <c r="S17" t="e">
        <f>IF(T17="","",INDEX('Backing 4'!U:U,MATCH(T17,'Backing 4'!T:T,0)))</f>
        <v>#N/A</v>
      </c>
      <c r="T17" t="str">
        <f t="shared" si="0"/>
        <v xml:space="preserve"> Manager &amp; Strategy</v>
      </c>
      <c r="U17" t="e">
        <f>IF(V17="","",INDEX('Backing 4'!Z:Z,MATCH(V17,'Backing 4'!Y:Y,0)))</f>
        <v>#N/A</v>
      </c>
      <c r="V17" t="str">
        <f t="shared" si="1"/>
        <v xml:space="preserve"> Manager</v>
      </c>
      <c r="W17">
        <v>3</v>
      </c>
      <c r="X17" t="str">
        <f>IF(E17="Y","",IF(Y17="Y",INDEX('Backing 2'!B:B,MATCH(D17,'Backing 2'!C:C,0)),D17))</f>
        <v xml:space="preserve"> Manager</v>
      </c>
      <c r="Y17" t="s">
        <v>81</v>
      </c>
      <c r="Z17">
        <v>3</v>
      </c>
      <c r="AA17" t="s">
        <v>70</v>
      </c>
      <c r="AB17">
        <v>34</v>
      </c>
      <c r="AC17" t="s">
        <v>30</v>
      </c>
      <c r="AD17" t="s">
        <v>74</v>
      </c>
      <c r="AE17" t="s">
        <v>74</v>
      </c>
      <c r="AF17" s="3">
        <v>42095</v>
      </c>
      <c r="AG17">
        <v>5</v>
      </c>
      <c r="AH17">
        <f t="shared" ca="1" si="2"/>
        <v>0.53698432215012737</v>
      </c>
    </row>
    <row r="18" spans="1:34">
      <c r="A18">
        <v>17</v>
      </c>
      <c r="B18" t="s">
        <v>8</v>
      </c>
      <c r="C18">
        <v>6</v>
      </c>
      <c r="D18" t="s">
        <v>134</v>
      </c>
      <c r="E18" t="s">
        <v>81</v>
      </c>
      <c r="F18">
        <v>3</v>
      </c>
      <c r="G18" t="s">
        <v>82</v>
      </c>
      <c r="H18" t="s">
        <v>80</v>
      </c>
      <c r="I18" s="2">
        <v>0.5</v>
      </c>
      <c r="J18" t="s">
        <v>82</v>
      </c>
      <c r="K18" t="s">
        <v>79</v>
      </c>
      <c r="L18" t="s">
        <v>14</v>
      </c>
      <c r="M18">
        <v>0</v>
      </c>
      <c r="N18">
        <v>6</v>
      </c>
      <c r="O18" t="s">
        <v>134</v>
      </c>
      <c r="P18" t="s">
        <v>14</v>
      </c>
      <c r="Q18" s="1" t="s">
        <v>68</v>
      </c>
      <c r="R18" t="s">
        <v>68</v>
      </c>
      <c r="S18" t="e">
        <f>IF(T18="","",INDEX('Backing 4'!U:U,MATCH(T18,'Backing 4'!T:T,0)))</f>
        <v>#N/A</v>
      </c>
      <c r="T18" t="str">
        <f t="shared" si="0"/>
        <v xml:space="preserve"> Junior Officer &amp; Operations</v>
      </c>
      <c r="U18" t="e">
        <f>IF(V18="","",INDEX('Backing 4'!Z:Z,MATCH(V18,'Backing 4'!Y:Y,0)))</f>
        <v>#N/A</v>
      </c>
      <c r="V18" t="str">
        <f t="shared" si="1"/>
        <v xml:space="preserve"> Junior Officer</v>
      </c>
      <c r="W18">
        <v>2</v>
      </c>
      <c r="X18" t="str">
        <f>IF(E18="Y","",IF(Y18="Y",INDEX('Backing 2'!B:B,MATCH(D18,'Backing 2'!C:C,0)),D18))</f>
        <v xml:space="preserve"> Junior Officer</v>
      </c>
      <c r="Y18" t="s">
        <v>81</v>
      </c>
      <c r="Z18">
        <v>4</v>
      </c>
      <c r="AA18" t="s">
        <v>69</v>
      </c>
      <c r="AB18">
        <v>24</v>
      </c>
      <c r="AC18" t="s">
        <v>19</v>
      </c>
      <c r="AD18" t="s">
        <v>19</v>
      </c>
      <c r="AE18" t="s">
        <v>19</v>
      </c>
      <c r="AF18" s="3">
        <v>43191</v>
      </c>
      <c r="AG18">
        <v>2</v>
      </c>
      <c r="AH18">
        <f t="shared" ca="1" si="2"/>
        <v>0.43319077201456002</v>
      </c>
    </row>
    <row r="19" spans="1:34">
      <c r="A19">
        <v>18</v>
      </c>
      <c r="B19" t="s">
        <v>7</v>
      </c>
      <c r="C19">
        <v>6</v>
      </c>
      <c r="D19" t="s">
        <v>134</v>
      </c>
      <c r="E19" t="s">
        <v>81</v>
      </c>
      <c r="F19">
        <v>2</v>
      </c>
      <c r="G19" t="s">
        <v>80</v>
      </c>
      <c r="H19" t="s">
        <v>80</v>
      </c>
      <c r="I19" s="2">
        <v>0.5</v>
      </c>
      <c r="J19" t="s">
        <v>82</v>
      </c>
      <c r="K19" t="s">
        <v>79</v>
      </c>
      <c r="L19" t="s">
        <v>16</v>
      </c>
      <c r="M19">
        <v>0</v>
      </c>
      <c r="N19">
        <v>5</v>
      </c>
      <c r="O19" t="s">
        <v>138</v>
      </c>
      <c r="P19" t="s">
        <v>16</v>
      </c>
      <c r="Q19" s="1">
        <v>0.8</v>
      </c>
      <c r="R19" t="s">
        <v>67</v>
      </c>
      <c r="S19" t="e">
        <f>IF(T19="","",INDEX('Backing 4'!U:U,MATCH(T19,'Backing 4'!T:T,0)))</f>
        <v>#N/A</v>
      </c>
      <c r="T19" t="str">
        <f t="shared" si="0"/>
        <v xml:space="preserve"> Junior Officer &amp; Sales &amp; Marketing</v>
      </c>
      <c r="U19" t="e">
        <f>IF(V19="","",INDEX('Backing 4'!Z:Z,MATCH(V19,'Backing 4'!Y:Y,0)))</f>
        <v>#N/A</v>
      </c>
      <c r="V19" t="str">
        <f t="shared" si="1"/>
        <v xml:space="preserve"> Junior Officer</v>
      </c>
      <c r="W19">
        <v>4</v>
      </c>
      <c r="X19" t="str">
        <f>IF(E19="Y","",IF(Y19="Y",INDEX('Backing 2'!B:B,MATCH(D19,'Backing 2'!C:C,0)),D19))</f>
        <v xml:space="preserve"> Junior Officer</v>
      </c>
      <c r="Y19" t="s">
        <v>81</v>
      </c>
      <c r="Z19">
        <v>3</v>
      </c>
      <c r="AA19" t="s">
        <v>70</v>
      </c>
      <c r="AB19">
        <v>32</v>
      </c>
      <c r="AC19" t="s">
        <v>26</v>
      </c>
      <c r="AD19" t="s">
        <v>74</v>
      </c>
      <c r="AE19" t="s">
        <v>74</v>
      </c>
      <c r="AF19" s="3">
        <v>42461</v>
      </c>
      <c r="AG19">
        <v>4</v>
      </c>
      <c r="AH19">
        <f t="shared" ca="1" si="2"/>
        <v>8.926342890848149E-3</v>
      </c>
    </row>
    <row r="20" spans="1:34">
      <c r="A20">
        <v>19</v>
      </c>
      <c r="B20" t="s">
        <v>8</v>
      </c>
      <c r="C20">
        <v>5</v>
      </c>
      <c r="D20" t="s">
        <v>138</v>
      </c>
      <c r="E20" t="s">
        <v>81</v>
      </c>
      <c r="F20">
        <v>2</v>
      </c>
      <c r="G20" t="s">
        <v>82</v>
      </c>
      <c r="H20" t="s">
        <v>80</v>
      </c>
      <c r="I20" s="2">
        <v>0.5</v>
      </c>
      <c r="J20" t="s">
        <v>82</v>
      </c>
      <c r="K20" t="s">
        <v>79</v>
      </c>
      <c r="L20" t="s">
        <v>16</v>
      </c>
      <c r="M20">
        <v>0</v>
      </c>
      <c r="N20">
        <v>5</v>
      </c>
      <c r="O20" t="s">
        <v>138</v>
      </c>
      <c r="P20" t="s">
        <v>16</v>
      </c>
      <c r="Q20" s="1" t="s">
        <v>68</v>
      </c>
      <c r="R20" t="s">
        <v>68</v>
      </c>
      <c r="S20" t="e">
        <f>IF(T20="","",INDEX('Backing 4'!U:U,MATCH(T20,'Backing 4'!T:T,0)))</f>
        <v>#N/A</v>
      </c>
      <c r="T20" t="str">
        <f t="shared" si="0"/>
        <v xml:space="preserve"> Senior Officer &amp; Sales &amp; Marketing</v>
      </c>
      <c r="U20" t="e">
        <f>IF(V20="","",INDEX('Backing 4'!Z:Z,MATCH(V20,'Backing 4'!Y:Y,0)))</f>
        <v>#N/A</v>
      </c>
      <c r="V20" t="str">
        <f t="shared" si="1"/>
        <v xml:space="preserve"> Senior Officer</v>
      </c>
      <c r="W20">
        <v>3</v>
      </c>
      <c r="X20" t="str">
        <f>IF(E20="Y","",IF(Y20="Y",INDEX('Backing 2'!B:B,MATCH(D20,'Backing 2'!C:C,0)),D20))</f>
        <v xml:space="preserve"> Senior Officer</v>
      </c>
      <c r="Y20" t="s">
        <v>81</v>
      </c>
      <c r="Z20">
        <v>0</v>
      </c>
      <c r="AA20" t="s">
        <v>70</v>
      </c>
      <c r="AB20">
        <v>30</v>
      </c>
      <c r="AC20" t="s">
        <v>19</v>
      </c>
      <c r="AD20" t="s">
        <v>19</v>
      </c>
      <c r="AE20" t="s">
        <v>19</v>
      </c>
      <c r="AF20" s="3">
        <v>42826</v>
      </c>
      <c r="AG20">
        <v>3</v>
      </c>
      <c r="AH20">
        <f t="shared" ca="1" si="2"/>
        <v>0.27118231436007112</v>
      </c>
    </row>
    <row r="21" spans="1:34">
      <c r="A21">
        <v>20</v>
      </c>
      <c r="B21" t="s">
        <v>7</v>
      </c>
      <c r="C21">
        <v>5</v>
      </c>
      <c r="D21" t="s">
        <v>138</v>
      </c>
      <c r="E21" t="s">
        <v>81</v>
      </c>
      <c r="F21">
        <v>2</v>
      </c>
      <c r="G21" t="s">
        <v>82</v>
      </c>
      <c r="H21" t="s">
        <v>80</v>
      </c>
      <c r="I21" s="2">
        <v>0.5</v>
      </c>
      <c r="J21" t="s">
        <v>82</v>
      </c>
      <c r="K21" t="s">
        <v>79</v>
      </c>
      <c r="L21" t="s">
        <v>14</v>
      </c>
      <c r="M21">
        <v>0</v>
      </c>
      <c r="N21">
        <v>5</v>
      </c>
      <c r="O21" t="s">
        <v>138</v>
      </c>
      <c r="P21" t="s">
        <v>14</v>
      </c>
      <c r="Q21" s="1" t="s">
        <v>68</v>
      </c>
      <c r="R21" t="s">
        <v>68</v>
      </c>
      <c r="S21" t="e">
        <f>IF(T21="","",INDEX('Backing 4'!U:U,MATCH(T21,'Backing 4'!T:T,0)))</f>
        <v>#N/A</v>
      </c>
      <c r="T21" t="str">
        <f t="shared" si="0"/>
        <v xml:space="preserve"> Senior Officer &amp; Operations</v>
      </c>
      <c r="U21" t="e">
        <f>IF(V21="","",INDEX('Backing 4'!Z:Z,MATCH(V21,'Backing 4'!Y:Y,0)))</f>
        <v>#N/A</v>
      </c>
      <c r="V21" t="str">
        <f t="shared" si="1"/>
        <v xml:space="preserve"> Senior Officer</v>
      </c>
      <c r="W21">
        <v>1</v>
      </c>
      <c r="X21" t="e">
        <f>IF(E21="Y","",IF(Y21="Y",INDEX('Backing 2'!B:B,MATCH(D21,'Backing 2'!C:C,0)),D21))</f>
        <v>#N/A</v>
      </c>
      <c r="Y21" t="s">
        <v>79</v>
      </c>
      <c r="Z21">
        <v>1</v>
      </c>
      <c r="AA21" t="s">
        <v>70</v>
      </c>
      <c r="AB21">
        <v>32</v>
      </c>
      <c r="AC21" t="s">
        <v>30</v>
      </c>
      <c r="AD21" t="s">
        <v>74</v>
      </c>
      <c r="AE21" t="s">
        <v>74</v>
      </c>
      <c r="AF21" s="3">
        <v>41000</v>
      </c>
      <c r="AG21">
        <v>8</v>
      </c>
      <c r="AH21">
        <f t="shared" ca="1" si="2"/>
        <v>0.97675532152100997</v>
      </c>
    </row>
    <row r="22" spans="1:34">
      <c r="A22">
        <v>21</v>
      </c>
      <c r="B22" t="s">
        <v>8</v>
      </c>
      <c r="C22">
        <v>3</v>
      </c>
      <c r="D22" s="4" t="s">
        <v>137</v>
      </c>
      <c r="E22" t="s">
        <v>81</v>
      </c>
      <c r="F22">
        <v>3</v>
      </c>
      <c r="G22" t="s">
        <v>82</v>
      </c>
      <c r="H22" t="s">
        <v>82</v>
      </c>
      <c r="I22" s="2">
        <v>0.5</v>
      </c>
      <c r="J22" t="s">
        <v>80</v>
      </c>
      <c r="K22" t="s">
        <v>79</v>
      </c>
      <c r="L22" t="s">
        <v>17</v>
      </c>
      <c r="M22" t="s">
        <v>83</v>
      </c>
      <c r="N22">
        <v>0</v>
      </c>
      <c r="O22" t="s">
        <v>142</v>
      </c>
      <c r="P22" t="s">
        <v>17</v>
      </c>
      <c r="Q22" s="1" t="s">
        <v>68</v>
      </c>
      <c r="R22" t="s">
        <v>68</v>
      </c>
      <c r="S22" t="e">
        <f>IF(T22="","",INDEX('Backing 4'!U:U,MATCH(T22,'Backing 4'!T:T,0)))</f>
        <v>#N/A</v>
      </c>
      <c r="T22" t="str">
        <f t="shared" si="0"/>
        <v xml:space="preserve"> Senior Manager &amp; Strategy</v>
      </c>
      <c r="U22" t="e">
        <f>IF(V22="","",INDEX('Backing 4'!Z:Z,MATCH(V22,'Backing 4'!Y:Y,0)))</f>
        <v>#N/A</v>
      </c>
      <c r="V22" t="str">
        <f t="shared" si="1"/>
        <v xml:space="preserve"> Senior Manager</v>
      </c>
      <c r="W22">
        <v>7</v>
      </c>
      <c r="X22" t="str">
        <f>IF(E22="Y","",IF(Y22="Y",INDEX('Backing 2'!B:B,MATCH(D22,'Backing 2'!C:C,0)),D22))</f>
        <v xml:space="preserve"> Senior Manager</v>
      </c>
      <c r="Y22" t="s">
        <v>81</v>
      </c>
      <c r="Z22">
        <v>3</v>
      </c>
      <c r="AA22" t="s">
        <v>70</v>
      </c>
      <c r="AB22">
        <v>31</v>
      </c>
      <c r="AC22" t="s">
        <v>19</v>
      </c>
      <c r="AD22" t="s">
        <v>19</v>
      </c>
      <c r="AE22" t="s">
        <v>19</v>
      </c>
      <c r="AF22" s="3">
        <v>41365</v>
      </c>
      <c r="AG22">
        <v>7</v>
      </c>
      <c r="AH22">
        <f t="shared" ca="1" si="2"/>
        <v>0.7628017587459438</v>
      </c>
    </row>
    <row r="23" spans="1:34">
      <c r="A23">
        <v>22</v>
      </c>
      <c r="B23" t="s">
        <v>8</v>
      </c>
      <c r="C23">
        <v>6</v>
      </c>
      <c r="D23" s="4" t="s">
        <v>134</v>
      </c>
      <c r="E23" t="s">
        <v>81</v>
      </c>
      <c r="F23">
        <v>3</v>
      </c>
      <c r="G23" t="s">
        <v>82</v>
      </c>
      <c r="H23" t="s">
        <v>82</v>
      </c>
      <c r="I23" s="2">
        <v>0.5</v>
      </c>
      <c r="J23" t="s">
        <v>80</v>
      </c>
      <c r="K23" t="s">
        <v>79</v>
      </c>
      <c r="L23" t="s">
        <v>16</v>
      </c>
      <c r="M23" t="s">
        <v>83</v>
      </c>
      <c r="N23">
        <v>0</v>
      </c>
      <c r="O23" t="s">
        <v>142</v>
      </c>
      <c r="P23" t="s">
        <v>16</v>
      </c>
      <c r="Q23" s="1" t="s">
        <v>68</v>
      </c>
      <c r="R23" t="s">
        <v>68</v>
      </c>
      <c r="S23" t="e">
        <f>IF(T23="","",INDEX('Backing 4'!U:U,MATCH(T23,'Backing 4'!T:T,0)))</f>
        <v>#N/A</v>
      </c>
      <c r="T23" t="str">
        <f t="shared" si="0"/>
        <v xml:space="preserve"> Junior Officer &amp; Sales &amp; Marketing</v>
      </c>
      <c r="U23" t="e">
        <f>IF(V23="","",INDEX('Backing 4'!Z:Z,MATCH(V23,'Backing 4'!Y:Y,0)))</f>
        <v>#N/A</v>
      </c>
      <c r="V23" t="str">
        <f t="shared" si="1"/>
        <v xml:space="preserve"> Junior Officer</v>
      </c>
      <c r="W23">
        <v>3</v>
      </c>
      <c r="X23" t="str">
        <f>IF(E23="Y","",IF(Y23="Y",INDEX('Backing 2'!B:B,MATCH(D23,'Backing 2'!C:C,0)),D23))</f>
        <v xml:space="preserve"> Junior Officer</v>
      </c>
      <c r="Y23" t="s">
        <v>81</v>
      </c>
      <c r="Z23">
        <v>3</v>
      </c>
      <c r="AA23" t="s">
        <v>69</v>
      </c>
      <c r="AB23">
        <v>26</v>
      </c>
      <c r="AC23" t="s">
        <v>19</v>
      </c>
      <c r="AD23" t="s">
        <v>19</v>
      </c>
      <c r="AE23" t="s">
        <v>19</v>
      </c>
      <c r="AF23" s="3">
        <v>42826</v>
      </c>
      <c r="AG23">
        <v>3</v>
      </c>
      <c r="AH23">
        <f t="shared" ca="1" si="2"/>
        <v>0.82485170022440402</v>
      </c>
    </row>
    <row r="24" spans="1:34">
      <c r="A24">
        <v>23</v>
      </c>
      <c r="B24" t="s">
        <v>8</v>
      </c>
      <c r="C24">
        <v>2</v>
      </c>
      <c r="D24" t="s">
        <v>136</v>
      </c>
      <c r="E24" t="s">
        <v>81</v>
      </c>
      <c r="F24">
        <v>3</v>
      </c>
      <c r="G24" t="s">
        <v>82</v>
      </c>
      <c r="H24" t="s">
        <v>80</v>
      </c>
      <c r="I24" s="2">
        <v>0.5</v>
      </c>
      <c r="J24" t="s">
        <v>82</v>
      </c>
      <c r="K24" t="s">
        <v>79</v>
      </c>
      <c r="L24" t="s">
        <v>15</v>
      </c>
      <c r="M24">
        <v>0</v>
      </c>
      <c r="N24">
        <v>2</v>
      </c>
      <c r="O24" t="s">
        <v>136</v>
      </c>
      <c r="P24" t="s">
        <v>15</v>
      </c>
      <c r="Q24" s="1" t="s">
        <v>68</v>
      </c>
      <c r="R24" t="s">
        <v>68</v>
      </c>
      <c r="S24" t="e">
        <f>IF(T24="","",INDEX('Backing 4'!U:U,MATCH(T24,'Backing 4'!T:T,0)))</f>
        <v>#N/A</v>
      </c>
      <c r="T24" t="str">
        <f t="shared" si="0"/>
        <v xml:space="preserve"> Director &amp; Internal Services</v>
      </c>
      <c r="U24" t="s">
        <v>120</v>
      </c>
      <c r="V24" t="str">
        <f t="shared" si="1"/>
        <v xml:space="preserve"> Director</v>
      </c>
      <c r="W24">
        <v>5</v>
      </c>
      <c r="X24" t="str">
        <f>IF(E24="Y","",IF(Y24="Y",INDEX('Backing 2'!B:B,MATCH(D24,'Backing 2'!C:C,0)),D24))</f>
        <v xml:space="preserve"> Director</v>
      </c>
      <c r="Y24" t="s">
        <v>81</v>
      </c>
      <c r="Z24">
        <v>0</v>
      </c>
      <c r="AA24" t="s">
        <v>71</v>
      </c>
      <c r="AB24">
        <v>44</v>
      </c>
      <c r="AC24" t="s">
        <v>19</v>
      </c>
      <c r="AD24" t="s">
        <v>19</v>
      </c>
      <c r="AE24" t="s">
        <v>19</v>
      </c>
      <c r="AF24" s="3">
        <v>42095</v>
      </c>
      <c r="AG24">
        <v>5</v>
      </c>
      <c r="AH24">
        <f t="shared" ca="1" si="2"/>
        <v>0.98261432262931636</v>
      </c>
    </row>
    <row r="25" spans="1:34">
      <c r="A25">
        <v>24</v>
      </c>
      <c r="B25" t="s">
        <v>8</v>
      </c>
      <c r="C25">
        <v>5</v>
      </c>
      <c r="D25" t="s">
        <v>138</v>
      </c>
      <c r="E25" t="s">
        <v>81</v>
      </c>
      <c r="F25">
        <v>4</v>
      </c>
      <c r="G25" t="s">
        <v>82</v>
      </c>
      <c r="H25" t="s">
        <v>80</v>
      </c>
      <c r="I25" s="2">
        <v>0.5</v>
      </c>
      <c r="J25" t="s">
        <v>82</v>
      </c>
      <c r="K25" t="s">
        <v>79</v>
      </c>
      <c r="L25" t="s">
        <v>16</v>
      </c>
      <c r="M25">
        <v>0</v>
      </c>
      <c r="N25">
        <v>5</v>
      </c>
      <c r="O25" t="s">
        <v>138</v>
      </c>
      <c r="P25" t="s">
        <v>16</v>
      </c>
      <c r="Q25" s="1" t="s">
        <v>68</v>
      </c>
      <c r="R25" t="s">
        <v>68</v>
      </c>
      <c r="S25" t="e">
        <f>IF(T25="","",INDEX('Backing 4'!U:U,MATCH(T25,'Backing 4'!T:T,0)))</f>
        <v>#N/A</v>
      </c>
      <c r="T25" t="str">
        <f t="shared" si="0"/>
        <v xml:space="preserve"> Senior Officer &amp; Sales &amp; Marketing</v>
      </c>
      <c r="U25" t="e">
        <f>IF(V25="","",INDEX('Backing 4'!Z:Z,MATCH(V25,'Backing 4'!Y:Y,0)))</f>
        <v>#N/A</v>
      </c>
      <c r="V25" t="str">
        <f t="shared" si="1"/>
        <v xml:space="preserve"> Senior Officer</v>
      </c>
      <c r="W25">
        <v>3</v>
      </c>
      <c r="X25" t="str">
        <f>IF(E25="Y","",IF(Y25="Y",INDEX('Backing 2'!B:B,MATCH(D25,'Backing 2'!C:C,0)),D25))</f>
        <v xml:space="preserve"> Senior Officer</v>
      </c>
      <c r="Y25" t="s">
        <v>81</v>
      </c>
      <c r="Z25">
        <v>3</v>
      </c>
      <c r="AA25" t="s">
        <v>69</v>
      </c>
      <c r="AB25">
        <v>26</v>
      </c>
      <c r="AC25" t="s">
        <v>36</v>
      </c>
      <c r="AD25" t="s">
        <v>74</v>
      </c>
      <c r="AE25" t="s">
        <v>74</v>
      </c>
      <c r="AF25" s="3">
        <v>41730</v>
      </c>
      <c r="AG25">
        <v>6</v>
      </c>
      <c r="AH25">
        <f t="shared" ca="1" si="2"/>
        <v>0.27614627419100179</v>
      </c>
    </row>
    <row r="26" spans="1:34">
      <c r="A26">
        <v>25</v>
      </c>
      <c r="B26" t="s">
        <v>8</v>
      </c>
      <c r="C26">
        <v>4</v>
      </c>
      <c r="D26" t="s">
        <v>135</v>
      </c>
      <c r="E26" t="s">
        <v>81</v>
      </c>
      <c r="F26">
        <v>2</v>
      </c>
      <c r="G26" t="s">
        <v>82</v>
      </c>
      <c r="H26" t="s">
        <v>80</v>
      </c>
      <c r="I26" s="2">
        <v>0.5</v>
      </c>
      <c r="J26" t="s">
        <v>82</v>
      </c>
      <c r="K26" t="s">
        <v>79</v>
      </c>
      <c r="L26" t="s">
        <v>14</v>
      </c>
      <c r="M26">
        <v>0</v>
      </c>
      <c r="N26">
        <v>4</v>
      </c>
      <c r="O26" t="s">
        <v>135</v>
      </c>
      <c r="P26" t="s">
        <v>14</v>
      </c>
      <c r="Q26" s="1" t="s">
        <v>68</v>
      </c>
      <c r="R26" t="s">
        <v>68</v>
      </c>
      <c r="S26" t="e">
        <f>IF(T26="","",INDEX('Backing 4'!U:U,MATCH(T26,'Backing 4'!T:T,0)))</f>
        <v>#N/A</v>
      </c>
      <c r="T26" t="str">
        <f t="shared" si="0"/>
        <v xml:space="preserve"> Manager &amp; Operations</v>
      </c>
      <c r="U26" t="e">
        <f>IF(V26="","",INDEX('Backing 4'!Z:Z,MATCH(V26,'Backing 4'!Y:Y,0)))</f>
        <v>#N/A</v>
      </c>
      <c r="V26" t="str">
        <f t="shared" si="1"/>
        <v xml:space="preserve"> Manager</v>
      </c>
      <c r="W26">
        <v>3</v>
      </c>
      <c r="X26" t="str">
        <f>IF(E26="Y","",IF(Y26="Y",INDEX('Backing 2'!B:B,MATCH(D26,'Backing 2'!C:C,0)),D26))</f>
        <v xml:space="preserve"> Manager</v>
      </c>
      <c r="Y26" t="s">
        <v>81</v>
      </c>
      <c r="Z26">
        <v>3</v>
      </c>
      <c r="AA26" t="s">
        <v>70</v>
      </c>
      <c r="AB26">
        <v>36</v>
      </c>
      <c r="AC26" t="s">
        <v>31</v>
      </c>
      <c r="AD26" t="s">
        <v>74</v>
      </c>
      <c r="AE26" t="s">
        <v>74</v>
      </c>
      <c r="AF26" s="3">
        <v>41730</v>
      </c>
      <c r="AG26">
        <v>6</v>
      </c>
      <c r="AH26">
        <f t="shared" ca="1" si="2"/>
        <v>0.63869654400775555</v>
      </c>
    </row>
    <row r="27" spans="1:34">
      <c r="A27">
        <v>26</v>
      </c>
      <c r="B27" t="s">
        <v>8</v>
      </c>
      <c r="C27">
        <v>6</v>
      </c>
      <c r="D27" t="s">
        <v>134</v>
      </c>
      <c r="E27" t="s">
        <v>81</v>
      </c>
      <c r="F27">
        <v>2</v>
      </c>
      <c r="G27" t="s">
        <v>82</v>
      </c>
      <c r="H27" t="s">
        <v>80</v>
      </c>
      <c r="I27" s="2">
        <v>0.5</v>
      </c>
      <c r="J27" t="s">
        <v>82</v>
      </c>
      <c r="K27" t="s">
        <v>79</v>
      </c>
      <c r="L27" t="s">
        <v>15</v>
      </c>
      <c r="M27">
        <v>0</v>
      </c>
      <c r="N27">
        <v>6</v>
      </c>
      <c r="O27" t="s">
        <v>134</v>
      </c>
      <c r="P27" t="s">
        <v>15</v>
      </c>
      <c r="Q27" s="1" t="s">
        <v>68</v>
      </c>
      <c r="R27" t="s">
        <v>68</v>
      </c>
      <c r="S27" t="e">
        <f>IF(T27="","",INDEX('Backing 4'!U:U,MATCH(T27,'Backing 4'!T:T,0)))</f>
        <v>#N/A</v>
      </c>
      <c r="T27" t="str">
        <f t="shared" si="0"/>
        <v xml:space="preserve"> Junior Officer &amp; Internal Services</v>
      </c>
      <c r="U27" t="e">
        <f>IF(V27="","",INDEX('Backing 4'!Z:Z,MATCH(V27,'Backing 4'!Y:Y,0)))</f>
        <v>#N/A</v>
      </c>
      <c r="V27" t="str">
        <f t="shared" si="1"/>
        <v xml:space="preserve"> Junior Officer</v>
      </c>
      <c r="W27">
        <v>2</v>
      </c>
      <c r="X27" t="str">
        <f>IF(E27="Y","",IF(Y27="Y",INDEX('Backing 2'!B:B,MATCH(D27,'Backing 2'!C:C,0)),D27))</f>
        <v xml:space="preserve"> Junior Officer</v>
      </c>
      <c r="Y27" t="s">
        <v>81</v>
      </c>
      <c r="Z27">
        <v>3</v>
      </c>
      <c r="AA27" t="s">
        <v>69</v>
      </c>
      <c r="AB27">
        <v>22</v>
      </c>
      <c r="AC27" t="s">
        <v>19</v>
      </c>
      <c r="AD27" t="s">
        <v>19</v>
      </c>
      <c r="AE27" t="s">
        <v>19</v>
      </c>
      <c r="AF27" s="3">
        <v>43191</v>
      </c>
      <c r="AG27">
        <v>2</v>
      </c>
      <c r="AH27">
        <f t="shared" ca="1" si="2"/>
        <v>0.32928829291519768</v>
      </c>
    </row>
    <row r="28" spans="1:34">
      <c r="A28">
        <v>27</v>
      </c>
      <c r="B28" t="s">
        <v>7</v>
      </c>
      <c r="C28">
        <v>5</v>
      </c>
      <c r="D28" t="s">
        <v>138</v>
      </c>
      <c r="E28" t="s">
        <v>81</v>
      </c>
      <c r="F28">
        <v>3</v>
      </c>
      <c r="G28" t="s">
        <v>82</v>
      </c>
      <c r="H28" t="s">
        <v>80</v>
      </c>
      <c r="I28" s="2">
        <v>0.5</v>
      </c>
      <c r="J28" t="s">
        <v>82</v>
      </c>
      <c r="K28" t="s">
        <v>79</v>
      </c>
      <c r="L28" t="s">
        <v>15</v>
      </c>
      <c r="M28">
        <v>0</v>
      </c>
      <c r="N28">
        <v>5</v>
      </c>
      <c r="O28" t="s">
        <v>138</v>
      </c>
      <c r="P28" t="s">
        <v>15</v>
      </c>
      <c r="Q28" s="1" t="s">
        <v>68</v>
      </c>
      <c r="R28" t="s">
        <v>68</v>
      </c>
      <c r="S28" t="e">
        <f>IF(T28="","",INDEX('Backing 4'!U:U,MATCH(T28,'Backing 4'!T:T,0)))</f>
        <v>#N/A</v>
      </c>
      <c r="T28" t="str">
        <f t="shared" si="0"/>
        <v xml:space="preserve"> Senior Officer &amp; Internal Services</v>
      </c>
      <c r="U28" t="e">
        <f>IF(V28="","",INDEX('Backing 4'!Z:Z,MATCH(V28,'Backing 4'!Y:Y,0)))</f>
        <v>#N/A</v>
      </c>
      <c r="V28" t="str">
        <f t="shared" si="1"/>
        <v xml:space="preserve"> Senior Officer</v>
      </c>
      <c r="W28">
        <v>3</v>
      </c>
      <c r="X28" t="str">
        <f>IF(E28="Y","",IF(Y28="Y",INDEX('Backing 2'!B:B,MATCH(D28,'Backing 2'!C:C,0)),D28))</f>
        <v xml:space="preserve"> Senior Officer</v>
      </c>
      <c r="Y28" t="s">
        <v>81</v>
      </c>
      <c r="Z28">
        <v>2</v>
      </c>
      <c r="AA28" t="s">
        <v>70</v>
      </c>
      <c r="AB28">
        <v>33</v>
      </c>
      <c r="AC28" t="s">
        <v>19</v>
      </c>
      <c r="AD28" t="s">
        <v>19</v>
      </c>
      <c r="AE28" t="s">
        <v>19</v>
      </c>
      <c r="AF28" s="3">
        <v>42461</v>
      </c>
      <c r="AG28">
        <v>4</v>
      </c>
      <c r="AH28">
        <f t="shared" ca="1" si="2"/>
        <v>0.86209394763549019</v>
      </c>
    </row>
    <row r="29" spans="1:34">
      <c r="A29">
        <v>28</v>
      </c>
      <c r="B29" t="s">
        <v>8</v>
      </c>
      <c r="C29">
        <v>5</v>
      </c>
      <c r="D29" t="s">
        <v>138</v>
      </c>
      <c r="E29" t="s">
        <v>81</v>
      </c>
      <c r="F29">
        <v>4</v>
      </c>
      <c r="G29" t="s">
        <v>82</v>
      </c>
      <c r="H29" t="s">
        <v>80</v>
      </c>
      <c r="I29" s="2">
        <v>0.5</v>
      </c>
      <c r="J29" t="s">
        <v>82</v>
      </c>
      <c r="K29" t="s">
        <v>79</v>
      </c>
      <c r="L29" t="s">
        <v>16</v>
      </c>
      <c r="M29">
        <v>0</v>
      </c>
      <c r="N29">
        <v>5</v>
      </c>
      <c r="O29" t="s">
        <v>138</v>
      </c>
      <c r="P29" t="s">
        <v>16</v>
      </c>
      <c r="Q29" s="1" t="s">
        <v>68</v>
      </c>
      <c r="R29" t="s">
        <v>68</v>
      </c>
      <c r="S29" t="e">
        <f>IF(T29="","",INDEX('Backing 4'!U:U,MATCH(T29,'Backing 4'!T:T,0)))</f>
        <v>#N/A</v>
      </c>
      <c r="T29" t="str">
        <f t="shared" si="0"/>
        <v xml:space="preserve"> Senior Officer &amp; Sales &amp; Marketing</v>
      </c>
      <c r="U29" t="e">
        <f>IF(V29="","",INDEX('Backing 4'!Z:Z,MATCH(V29,'Backing 4'!Y:Y,0)))</f>
        <v>#N/A</v>
      </c>
      <c r="V29" t="str">
        <f t="shared" si="1"/>
        <v xml:space="preserve"> Senior Officer</v>
      </c>
      <c r="W29">
        <v>2</v>
      </c>
      <c r="X29" t="str">
        <f>IF(E29="Y","",IF(Y29="Y",INDEX('Backing 2'!B:B,MATCH(D29,'Backing 2'!C:C,0)),D29))</f>
        <v xml:space="preserve"> Senior Officer</v>
      </c>
      <c r="Y29" t="s">
        <v>81</v>
      </c>
      <c r="Z29">
        <v>2</v>
      </c>
      <c r="AA29" t="s">
        <v>69</v>
      </c>
      <c r="AB29">
        <v>27</v>
      </c>
      <c r="AC29" t="s">
        <v>26</v>
      </c>
      <c r="AD29" t="s">
        <v>74</v>
      </c>
      <c r="AE29" t="s">
        <v>74</v>
      </c>
      <c r="AF29" s="3">
        <v>42461</v>
      </c>
      <c r="AG29">
        <v>4</v>
      </c>
      <c r="AH29">
        <f t="shared" ca="1" si="2"/>
        <v>0.79175936261248625</v>
      </c>
    </row>
    <row r="30" spans="1:34">
      <c r="A30">
        <v>29</v>
      </c>
      <c r="B30" t="s">
        <v>7</v>
      </c>
      <c r="C30">
        <v>5</v>
      </c>
      <c r="D30" t="s">
        <v>138</v>
      </c>
      <c r="E30" t="s">
        <v>81</v>
      </c>
      <c r="F30">
        <v>2</v>
      </c>
      <c r="G30" t="s">
        <v>82</v>
      </c>
      <c r="H30" t="s">
        <v>80</v>
      </c>
      <c r="I30" s="2">
        <v>0.5</v>
      </c>
      <c r="J30" t="s">
        <v>82</v>
      </c>
      <c r="K30" t="s">
        <v>79</v>
      </c>
      <c r="L30" t="s">
        <v>12</v>
      </c>
      <c r="M30">
        <v>0</v>
      </c>
      <c r="N30">
        <v>5</v>
      </c>
      <c r="O30" t="s">
        <v>138</v>
      </c>
      <c r="P30" t="s">
        <v>12</v>
      </c>
      <c r="Q30" s="1" t="s">
        <v>68</v>
      </c>
      <c r="R30" t="s">
        <v>68</v>
      </c>
      <c r="S30" t="e">
        <f>IF(T30="","",INDEX('Backing 4'!U:U,MATCH(T30,'Backing 4'!T:T,0)))</f>
        <v>#N/A</v>
      </c>
      <c r="T30" t="str">
        <f t="shared" si="0"/>
        <v xml:space="preserve"> Senior Officer &amp; Finance</v>
      </c>
      <c r="U30" t="e">
        <f>IF(V30="","",INDEX('Backing 4'!Z:Z,MATCH(V30,'Backing 4'!Y:Y,0)))</f>
        <v>#N/A</v>
      </c>
      <c r="V30" t="str">
        <f t="shared" si="1"/>
        <v xml:space="preserve"> Senior Officer</v>
      </c>
      <c r="W30">
        <v>2</v>
      </c>
      <c r="X30" t="str">
        <f>IF(E30="Y","",IF(Y30="Y",INDEX('Backing 2'!B:B,MATCH(D30,'Backing 2'!C:C,0)),D30))</f>
        <v xml:space="preserve"> Senior Officer</v>
      </c>
      <c r="Y30" t="s">
        <v>81</v>
      </c>
      <c r="Z30">
        <v>3</v>
      </c>
      <c r="AA30" t="s">
        <v>70</v>
      </c>
      <c r="AB30">
        <v>32</v>
      </c>
      <c r="AC30" t="s">
        <v>26</v>
      </c>
      <c r="AD30" t="s">
        <v>74</v>
      </c>
      <c r="AE30" t="s">
        <v>74</v>
      </c>
      <c r="AF30" s="3">
        <v>42461</v>
      </c>
      <c r="AG30">
        <v>4</v>
      </c>
      <c r="AH30">
        <f t="shared" ca="1" si="2"/>
        <v>0.96334357732861686</v>
      </c>
    </row>
    <row r="31" spans="1:34">
      <c r="A31">
        <v>30</v>
      </c>
      <c r="B31" t="s">
        <v>8</v>
      </c>
      <c r="C31">
        <v>6</v>
      </c>
      <c r="D31" t="s">
        <v>134</v>
      </c>
      <c r="E31" t="s">
        <v>81</v>
      </c>
      <c r="F31">
        <v>2</v>
      </c>
      <c r="G31" t="s">
        <v>82</v>
      </c>
      <c r="H31" t="s">
        <v>80</v>
      </c>
      <c r="I31" s="2">
        <v>0.5</v>
      </c>
      <c r="J31" t="s">
        <v>82</v>
      </c>
      <c r="K31" t="s">
        <v>79</v>
      </c>
      <c r="L31" t="s">
        <v>14</v>
      </c>
      <c r="M31">
        <v>0</v>
      </c>
      <c r="N31">
        <v>6</v>
      </c>
      <c r="O31" t="s">
        <v>134</v>
      </c>
      <c r="P31" t="s">
        <v>14</v>
      </c>
      <c r="Q31" s="1" t="s">
        <v>68</v>
      </c>
      <c r="R31" t="s">
        <v>68</v>
      </c>
      <c r="S31" t="e">
        <f>IF(T31="","",INDEX('Backing 4'!U:U,MATCH(T31,'Backing 4'!T:T,0)))</f>
        <v>#N/A</v>
      </c>
      <c r="T31" t="str">
        <f t="shared" si="0"/>
        <v xml:space="preserve"> Junior Officer &amp; Operations</v>
      </c>
      <c r="U31" t="e">
        <f>IF(V31="","",INDEX('Backing 4'!Z:Z,MATCH(V31,'Backing 4'!Y:Y,0)))</f>
        <v>#N/A</v>
      </c>
      <c r="V31" t="str">
        <f t="shared" si="1"/>
        <v xml:space="preserve"> Junior Officer</v>
      </c>
      <c r="W31">
        <v>1</v>
      </c>
      <c r="X31" t="str">
        <f>IF(E31="Y","",IF(Y31="Y",INDEX('Backing 2'!B:B,MATCH(D31,'Backing 2'!C:C,0)),D31))</f>
        <v xml:space="preserve"> Junior Officer</v>
      </c>
      <c r="Y31" t="s">
        <v>81</v>
      </c>
      <c r="Z31">
        <v>0</v>
      </c>
      <c r="AA31" t="s">
        <v>69</v>
      </c>
      <c r="AB31">
        <v>25</v>
      </c>
      <c r="AC31" t="s">
        <v>19</v>
      </c>
      <c r="AD31" t="s">
        <v>19</v>
      </c>
      <c r="AE31" t="s">
        <v>19</v>
      </c>
      <c r="AF31" s="3">
        <v>43556</v>
      </c>
      <c r="AG31">
        <v>1</v>
      </c>
      <c r="AH31">
        <f t="shared" ca="1" si="2"/>
        <v>0.10863048315962076</v>
      </c>
    </row>
    <row r="32" spans="1:34">
      <c r="A32">
        <v>31</v>
      </c>
      <c r="B32" t="s">
        <v>7</v>
      </c>
      <c r="C32">
        <v>6</v>
      </c>
      <c r="D32" t="s">
        <v>134</v>
      </c>
      <c r="E32" t="s">
        <v>81</v>
      </c>
      <c r="F32">
        <v>2</v>
      </c>
      <c r="G32" t="s">
        <v>80</v>
      </c>
      <c r="H32" t="s">
        <v>80</v>
      </c>
      <c r="I32" s="2">
        <v>0.5</v>
      </c>
      <c r="J32" t="s">
        <v>82</v>
      </c>
      <c r="K32" t="s">
        <v>79</v>
      </c>
      <c r="L32" t="s">
        <v>14</v>
      </c>
      <c r="M32">
        <v>0</v>
      </c>
      <c r="N32">
        <v>5</v>
      </c>
      <c r="O32" t="s">
        <v>138</v>
      </c>
      <c r="P32" t="s">
        <v>14</v>
      </c>
      <c r="Q32" s="1" t="s">
        <v>68</v>
      </c>
      <c r="R32" t="s">
        <v>68</v>
      </c>
      <c r="S32" t="e">
        <f>IF(T32="","",INDEX('Backing 4'!U:U,MATCH(T32,'Backing 4'!T:T,0)))</f>
        <v>#N/A</v>
      </c>
      <c r="T32" t="str">
        <f t="shared" si="0"/>
        <v xml:space="preserve"> Junior Officer &amp; Operations</v>
      </c>
      <c r="U32" t="e">
        <f>IF(V32="","",INDEX('Backing 4'!Z:Z,MATCH(V32,'Backing 4'!Y:Y,0)))</f>
        <v>#N/A</v>
      </c>
      <c r="V32" t="str">
        <f t="shared" si="1"/>
        <v xml:space="preserve"> Junior Officer</v>
      </c>
      <c r="W32">
        <v>3</v>
      </c>
      <c r="X32" t="str">
        <f>IF(E32="Y","",IF(Y32="Y",INDEX('Backing 2'!B:B,MATCH(D32,'Backing 2'!C:C,0)),D32))</f>
        <v xml:space="preserve"> Junior Officer</v>
      </c>
      <c r="Y32" t="s">
        <v>81</v>
      </c>
      <c r="Z32">
        <v>2</v>
      </c>
      <c r="AA32" t="s">
        <v>70</v>
      </c>
      <c r="AB32">
        <v>33</v>
      </c>
      <c r="AC32" t="s">
        <v>19</v>
      </c>
      <c r="AD32" t="s">
        <v>19</v>
      </c>
      <c r="AE32" t="s">
        <v>19</v>
      </c>
      <c r="AF32" s="3">
        <v>42826</v>
      </c>
      <c r="AG32">
        <v>3</v>
      </c>
      <c r="AH32">
        <f t="shared" ca="1" si="2"/>
        <v>0.57117018639038519</v>
      </c>
    </row>
    <row r="33" spans="1:34">
      <c r="A33">
        <v>32</v>
      </c>
      <c r="B33" t="s">
        <v>8</v>
      </c>
      <c r="C33">
        <v>4</v>
      </c>
      <c r="D33" t="s">
        <v>135</v>
      </c>
      <c r="E33" t="s">
        <v>81</v>
      </c>
      <c r="F33">
        <v>1</v>
      </c>
      <c r="G33" t="s">
        <v>80</v>
      </c>
      <c r="H33" t="s">
        <v>80</v>
      </c>
      <c r="I33" s="2">
        <v>0.5</v>
      </c>
      <c r="J33" t="s">
        <v>82</v>
      </c>
      <c r="K33" t="s">
        <v>79</v>
      </c>
      <c r="L33" t="s">
        <v>16</v>
      </c>
      <c r="M33">
        <v>0</v>
      </c>
      <c r="N33">
        <v>3</v>
      </c>
      <c r="O33" t="s">
        <v>137</v>
      </c>
      <c r="P33" t="s">
        <v>16</v>
      </c>
      <c r="Q33" s="1" t="s">
        <v>68</v>
      </c>
      <c r="R33" t="s">
        <v>68</v>
      </c>
      <c r="S33" t="e">
        <f>IF(T33="","",INDEX('Backing 4'!U:U,MATCH(T33,'Backing 4'!T:T,0)))</f>
        <v>#N/A</v>
      </c>
      <c r="T33" t="str">
        <f t="shared" si="0"/>
        <v xml:space="preserve"> Manager &amp; Sales &amp; Marketing</v>
      </c>
      <c r="U33" t="e">
        <f>IF(V33="","",INDEX('Backing 4'!Z:Z,MATCH(V33,'Backing 4'!Y:Y,0)))</f>
        <v>#N/A</v>
      </c>
      <c r="V33" t="str">
        <f t="shared" si="1"/>
        <v xml:space="preserve"> Manager</v>
      </c>
      <c r="W33">
        <v>2</v>
      </c>
      <c r="X33" t="str">
        <f>IF(E33="Y","",IF(Y33="Y",INDEX('Backing 2'!B:B,MATCH(D33,'Backing 2'!C:C,0)),D33))</f>
        <v xml:space="preserve"> Manager</v>
      </c>
      <c r="Y33" t="s">
        <v>81</v>
      </c>
      <c r="Z33">
        <v>2</v>
      </c>
      <c r="AA33" t="s">
        <v>70</v>
      </c>
      <c r="AB33">
        <v>30</v>
      </c>
      <c r="AC33" t="s">
        <v>19</v>
      </c>
      <c r="AD33" t="s">
        <v>19</v>
      </c>
      <c r="AE33" t="s">
        <v>19</v>
      </c>
      <c r="AF33" s="3">
        <v>41000</v>
      </c>
      <c r="AG33">
        <v>8</v>
      </c>
      <c r="AH33">
        <f t="shared" ca="1" si="2"/>
        <v>0.99664617085846952</v>
      </c>
    </row>
    <row r="34" spans="1:34">
      <c r="A34">
        <v>33</v>
      </c>
      <c r="B34" t="s">
        <v>8</v>
      </c>
      <c r="C34">
        <v>4</v>
      </c>
      <c r="D34" t="s">
        <v>135</v>
      </c>
      <c r="E34" t="s">
        <v>81</v>
      </c>
      <c r="F34">
        <v>2</v>
      </c>
      <c r="G34" t="s">
        <v>82</v>
      </c>
      <c r="H34" t="s">
        <v>80</v>
      </c>
      <c r="I34" s="2">
        <v>0.5</v>
      </c>
      <c r="J34" t="s">
        <v>82</v>
      </c>
      <c r="K34" t="s">
        <v>79</v>
      </c>
      <c r="L34" t="s">
        <v>16</v>
      </c>
      <c r="M34">
        <v>0</v>
      </c>
      <c r="N34">
        <v>4</v>
      </c>
      <c r="O34" t="s">
        <v>135</v>
      </c>
      <c r="P34" t="s">
        <v>16</v>
      </c>
      <c r="Q34" s="1" t="s">
        <v>68</v>
      </c>
      <c r="R34" t="s">
        <v>68</v>
      </c>
      <c r="S34" t="e">
        <f>IF(T34="","",INDEX('Backing 4'!U:U,MATCH(T34,'Backing 4'!T:T,0)))</f>
        <v>#N/A</v>
      </c>
      <c r="T34" t="str">
        <f t="shared" si="0"/>
        <v xml:space="preserve"> Manager &amp; Sales &amp; Marketing</v>
      </c>
      <c r="U34" t="e">
        <f>IF(V34="","",INDEX('Backing 4'!Z:Z,MATCH(V34,'Backing 4'!Y:Y,0)))</f>
        <v>#N/A</v>
      </c>
      <c r="V34" t="str">
        <f t="shared" si="1"/>
        <v xml:space="preserve"> Manager</v>
      </c>
      <c r="W34">
        <v>1</v>
      </c>
      <c r="X34" t="e">
        <f>IF(E34="Y","",IF(Y34="Y",INDEX('Backing 2'!B:B,MATCH(D34,'Backing 2'!C:C,0)),D34))</f>
        <v>#N/A</v>
      </c>
      <c r="Y34" t="s">
        <v>79</v>
      </c>
      <c r="Z34">
        <v>1</v>
      </c>
      <c r="AA34" t="s">
        <v>70</v>
      </c>
      <c r="AB34">
        <v>33</v>
      </c>
      <c r="AC34" t="s">
        <v>30</v>
      </c>
      <c r="AD34" t="s">
        <v>74</v>
      </c>
      <c r="AE34" t="s">
        <v>74</v>
      </c>
      <c r="AF34" s="3">
        <v>41730</v>
      </c>
      <c r="AG34">
        <v>6</v>
      </c>
      <c r="AH34">
        <f t="shared" ca="1" si="2"/>
        <v>0.81786329548778447</v>
      </c>
    </row>
    <row r="35" spans="1:34">
      <c r="A35">
        <v>34</v>
      </c>
      <c r="B35" t="s">
        <v>7</v>
      </c>
      <c r="C35">
        <v>5</v>
      </c>
      <c r="D35" t="s">
        <v>138</v>
      </c>
      <c r="E35" t="s">
        <v>81</v>
      </c>
      <c r="F35">
        <v>1</v>
      </c>
      <c r="G35" t="s">
        <v>80</v>
      </c>
      <c r="H35" t="s">
        <v>80</v>
      </c>
      <c r="I35" s="2">
        <v>0.5</v>
      </c>
      <c r="J35" t="s">
        <v>82</v>
      </c>
      <c r="K35" t="s">
        <v>79</v>
      </c>
      <c r="L35" t="s">
        <v>15</v>
      </c>
      <c r="M35">
        <v>0</v>
      </c>
      <c r="N35">
        <v>4</v>
      </c>
      <c r="O35" t="s">
        <v>135</v>
      </c>
      <c r="P35" t="s">
        <v>15</v>
      </c>
      <c r="Q35" s="1" t="s">
        <v>68</v>
      </c>
      <c r="R35" t="s">
        <v>68</v>
      </c>
      <c r="S35" t="e">
        <f>IF(T35="","",INDEX('Backing 4'!U:U,MATCH(T35,'Backing 4'!T:T,0)))</f>
        <v>#N/A</v>
      </c>
      <c r="T35" t="str">
        <f t="shared" si="0"/>
        <v xml:space="preserve"> Senior Officer &amp; Internal Services</v>
      </c>
      <c r="U35" t="e">
        <f>IF(V35="","",INDEX('Backing 4'!Z:Z,MATCH(V35,'Backing 4'!Y:Y,0)))</f>
        <v>#N/A</v>
      </c>
      <c r="V35" t="str">
        <f t="shared" si="1"/>
        <v xml:space="preserve"> Senior Officer</v>
      </c>
      <c r="W35">
        <v>5</v>
      </c>
      <c r="X35" t="str">
        <f>IF(E35="Y","",IF(Y35="Y",INDEX('Backing 2'!B:B,MATCH(D35,'Backing 2'!C:C,0)),D35))</f>
        <v xml:space="preserve"> Senior Officer</v>
      </c>
      <c r="Y35" t="s">
        <v>81</v>
      </c>
      <c r="Z35">
        <v>2</v>
      </c>
      <c r="AA35" t="s">
        <v>70</v>
      </c>
      <c r="AB35">
        <v>37</v>
      </c>
      <c r="AC35" t="s">
        <v>19</v>
      </c>
      <c r="AD35" t="s">
        <v>19</v>
      </c>
      <c r="AE35" t="s">
        <v>19</v>
      </c>
      <c r="AF35" s="3">
        <v>41730</v>
      </c>
      <c r="AG35">
        <v>6</v>
      </c>
      <c r="AH35">
        <f t="shared" ca="1" si="2"/>
        <v>0.39186236820899967</v>
      </c>
    </row>
    <row r="36" spans="1:34">
      <c r="A36">
        <v>35</v>
      </c>
      <c r="B36" t="s">
        <v>8</v>
      </c>
      <c r="C36">
        <v>5</v>
      </c>
      <c r="D36" t="s">
        <v>138</v>
      </c>
      <c r="E36" t="s">
        <v>81</v>
      </c>
      <c r="F36">
        <v>3</v>
      </c>
      <c r="G36" t="s">
        <v>82</v>
      </c>
      <c r="H36" t="s">
        <v>80</v>
      </c>
      <c r="I36" s="2">
        <v>0.5</v>
      </c>
      <c r="J36" t="s">
        <v>82</v>
      </c>
      <c r="K36" t="s">
        <v>79</v>
      </c>
      <c r="L36" t="s">
        <v>15</v>
      </c>
      <c r="M36">
        <v>0</v>
      </c>
      <c r="N36">
        <v>5</v>
      </c>
      <c r="O36" t="s">
        <v>138</v>
      </c>
      <c r="P36" t="s">
        <v>15</v>
      </c>
      <c r="Q36" s="1" t="s">
        <v>68</v>
      </c>
      <c r="R36" t="s">
        <v>68</v>
      </c>
      <c r="S36" t="e">
        <f>IF(T36="","",INDEX('Backing 4'!U:U,MATCH(T36,'Backing 4'!T:T,0)))</f>
        <v>#N/A</v>
      </c>
      <c r="T36" t="str">
        <f t="shared" si="0"/>
        <v xml:space="preserve"> Senior Officer &amp; Internal Services</v>
      </c>
      <c r="U36" t="e">
        <f>IF(V36="","",INDEX('Backing 4'!Z:Z,MATCH(V36,'Backing 4'!Y:Y,0)))</f>
        <v>#N/A</v>
      </c>
      <c r="V36" t="str">
        <f t="shared" si="1"/>
        <v xml:space="preserve"> Senior Officer</v>
      </c>
      <c r="W36">
        <v>3</v>
      </c>
      <c r="X36" t="str">
        <f>IF(E36="Y","",IF(Y36="Y",INDEX('Backing 2'!B:B,MATCH(D36,'Backing 2'!C:C,0)),D36))</f>
        <v xml:space="preserve"> Senior Officer</v>
      </c>
      <c r="Y36" t="s">
        <v>81</v>
      </c>
      <c r="Z36">
        <v>0</v>
      </c>
      <c r="AA36" t="s">
        <v>69</v>
      </c>
      <c r="AB36">
        <v>27</v>
      </c>
      <c r="AC36" t="s">
        <v>19</v>
      </c>
      <c r="AD36" t="s">
        <v>19</v>
      </c>
      <c r="AE36" t="s">
        <v>19</v>
      </c>
      <c r="AF36" s="3">
        <v>42826</v>
      </c>
      <c r="AG36">
        <v>3</v>
      </c>
      <c r="AH36">
        <f t="shared" ca="1" si="2"/>
        <v>0.63646304671723253</v>
      </c>
    </row>
    <row r="37" spans="1:34">
      <c r="A37">
        <v>36</v>
      </c>
      <c r="B37" t="s">
        <v>8</v>
      </c>
      <c r="C37">
        <v>3</v>
      </c>
      <c r="D37" t="s">
        <v>137</v>
      </c>
      <c r="E37" t="s">
        <v>81</v>
      </c>
      <c r="F37">
        <v>1</v>
      </c>
      <c r="G37" t="s">
        <v>82</v>
      </c>
      <c r="H37" t="s">
        <v>80</v>
      </c>
      <c r="I37" s="2">
        <v>0.5</v>
      </c>
      <c r="J37" t="s">
        <v>82</v>
      </c>
      <c r="K37" t="s">
        <v>79</v>
      </c>
      <c r="L37" t="s">
        <v>16</v>
      </c>
      <c r="M37">
        <v>0</v>
      </c>
      <c r="N37">
        <v>3</v>
      </c>
      <c r="O37" t="s">
        <v>137</v>
      </c>
      <c r="P37" t="s">
        <v>16</v>
      </c>
      <c r="Q37" s="1" t="s">
        <v>68</v>
      </c>
      <c r="R37" t="s">
        <v>68</v>
      </c>
      <c r="S37" t="e">
        <f>IF(T37="","",INDEX('Backing 4'!U:U,MATCH(T37,'Backing 4'!T:T,0)))</f>
        <v>#N/A</v>
      </c>
      <c r="T37" t="str">
        <f t="shared" si="0"/>
        <v xml:space="preserve"> Senior Manager &amp; Sales &amp; Marketing</v>
      </c>
      <c r="U37" t="e">
        <f>IF(V37="","",INDEX('Backing 4'!Z:Z,MATCH(V37,'Backing 4'!Y:Y,0)))</f>
        <v>#N/A</v>
      </c>
      <c r="V37" t="str">
        <f t="shared" si="1"/>
        <v xml:space="preserve"> Senior Manager</v>
      </c>
      <c r="W37">
        <v>3</v>
      </c>
      <c r="X37" t="str">
        <f>IF(E37="Y","",IF(Y37="Y",INDEX('Backing 2'!B:B,MATCH(D37,'Backing 2'!C:C,0)),D37))</f>
        <v xml:space="preserve"> Senior Manager</v>
      </c>
      <c r="Y37" t="s">
        <v>81</v>
      </c>
      <c r="Z37">
        <v>3</v>
      </c>
      <c r="AA37" t="s">
        <v>70</v>
      </c>
      <c r="AB37">
        <v>39</v>
      </c>
      <c r="AC37" t="s">
        <v>42</v>
      </c>
      <c r="AD37" t="s">
        <v>74</v>
      </c>
      <c r="AE37" t="s">
        <v>74</v>
      </c>
      <c r="AF37" s="3">
        <v>42095</v>
      </c>
      <c r="AG37">
        <v>5</v>
      </c>
      <c r="AH37">
        <f t="shared" ca="1" si="2"/>
        <v>0.377687786853522</v>
      </c>
    </row>
    <row r="38" spans="1:34">
      <c r="A38">
        <v>37</v>
      </c>
      <c r="B38" t="s">
        <v>8</v>
      </c>
      <c r="C38">
        <v>6</v>
      </c>
      <c r="D38" t="s">
        <v>134</v>
      </c>
      <c r="E38" t="s">
        <v>81</v>
      </c>
      <c r="F38">
        <v>2</v>
      </c>
      <c r="G38" t="s">
        <v>82</v>
      </c>
      <c r="H38" t="s">
        <v>80</v>
      </c>
      <c r="I38" s="2">
        <v>0.5</v>
      </c>
      <c r="J38" t="s">
        <v>82</v>
      </c>
      <c r="K38" t="s">
        <v>79</v>
      </c>
      <c r="L38" t="s">
        <v>14</v>
      </c>
      <c r="M38">
        <v>0</v>
      </c>
      <c r="N38">
        <v>6</v>
      </c>
      <c r="O38" t="s">
        <v>134</v>
      </c>
      <c r="P38" t="s">
        <v>14</v>
      </c>
      <c r="Q38" s="1" t="s">
        <v>68</v>
      </c>
      <c r="R38" t="s">
        <v>68</v>
      </c>
      <c r="S38" t="e">
        <f>IF(T38="","",INDEX('Backing 4'!U:U,MATCH(T38,'Backing 4'!T:T,0)))</f>
        <v>#N/A</v>
      </c>
      <c r="T38" t="str">
        <f t="shared" si="0"/>
        <v xml:space="preserve"> Junior Officer &amp; Operations</v>
      </c>
      <c r="U38" t="e">
        <f>IF(V38="","",INDEX('Backing 4'!Z:Z,MATCH(V38,'Backing 4'!Y:Y,0)))</f>
        <v>#N/A</v>
      </c>
      <c r="V38" t="str">
        <f t="shared" si="1"/>
        <v xml:space="preserve"> Junior Officer</v>
      </c>
      <c r="W38">
        <v>2</v>
      </c>
      <c r="X38" t="str">
        <f>IF(E38="Y","",IF(Y38="Y",INDEX('Backing 2'!B:B,MATCH(D38,'Backing 2'!C:C,0)),D38))</f>
        <v xml:space="preserve"> Junior Officer</v>
      </c>
      <c r="Y38" t="s">
        <v>81</v>
      </c>
      <c r="Z38">
        <v>2</v>
      </c>
      <c r="AA38" t="s">
        <v>69</v>
      </c>
      <c r="AB38">
        <v>25</v>
      </c>
      <c r="AC38" t="s">
        <v>19</v>
      </c>
      <c r="AD38" t="s">
        <v>19</v>
      </c>
      <c r="AE38" t="s">
        <v>19</v>
      </c>
      <c r="AF38" s="3">
        <v>43191</v>
      </c>
      <c r="AG38">
        <v>2</v>
      </c>
      <c r="AH38">
        <f t="shared" ca="1" si="2"/>
        <v>0.76664828563241327</v>
      </c>
    </row>
    <row r="39" spans="1:34">
      <c r="A39">
        <v>38</v>
      </c>
      <c r="B39" t="s">
        <v>7</v>
      </c>
      <c r="C39">
        <v>6</v>
      </c>
      <c r="D39" t="s">
        <v>134</v>
      </c>
      <c r="E39" t="s">
        <v>79</v>
      </c>
      <c r="F39">
        <v>0</v>
      </c>
      <c r="G39" t="s">
        <v>82</v>
      </c>
      <c r="H39" t="s">
        <v>82</v>
      </c>
      <c r="I39" s="2">
        <v>0.5</v>
      </c>
      <c r="J39" t="s">
        <v>82</v>
      </c>
      <c r="K39" t="s">
        <v>81</v>
      </c>
      <c r="L39" t="s">
        <v>14</v>
      </c>
      <c r="M39">
        <v>0</v>
      </c>
      <c r="N39">
        <v>6</v>
      </c>
      <c r="O39" t="s">
        <v>134</v>
      </c>
      <c r="P39" t="s">
        <v>14</v>
      </c>
      <c r="Q39" s="1" t="s">
        <v>68</v>
      </c>
      <c r="R39" t="s">
        <v>68</v>
      </c>
      <c r="S39" t="e">
        <f>IF(T39="","",INDEX('Backing 4'!U:U,MATCH(T39,'Backing 4'!T:T,0)))</f>
        <v>#N/A</v>
      </c>
      <c r="T39" t="str">
        <f t="shared" si="0"/>
        <v xml:space="preserve"> Junior Officer &amp; Operations</v>
      </c>
      <c r="U39" t="e">
        <f>IF(V39="","",INDEX('Backing 4'!Z:Z,MATCH(V39,'Backing 4'!Y:Y,0)))</f>
        <v>#N/A</v>
      </c>
      <c r="V39" t="str">
        <f t="shared" si="1"/>
        <v xml:space="preserve"> Junior Officer</v>
      </c>
      <c r="W39">
        <v>0</v>
      </c>
      <c r="X39" t="str">
        <f>IF(E39="Y","",IF(Y39="Y",INDEX('Backing 2'!B:B,MATCH(D39,'Backing 2'!C:C,0)),D39))</f>
        <v/>
      </c>
      <c r="Y39" t="s">
        <v>81</v>
      </c>
      <c r="Z39">
        <v>0</v>
      </c>
      <c r="AA39" t="s">
        <v>69</v>
      </c>
      <c r="AB39">
        <v>27</v>
      </c>
      <c r="AC39" t="s">
        <v>26</v>
      </c>
      <c r="AD39" t="s">
        <v>74</v>
      </c>
      <c r="AE39" t="s">
        <v>74</v>
      </c>
      <c r="AF39" s="3">
        <v>43922</v>
      </c>
      <c r="AG39">
        <v>0</v>
      </c>
      <c r="AH39">
        <f t="shared" ca="1" si="2"/>
        <v>0.59224037308387367</v>
      </c>
    </row>
    <row r="40" spans="1:34">
      <c r="A40">
        <v>39</v>
      </c>
      <c r="B40" t="s">
        <v>8</v>
      </c>
      <c r="C40">
        <v>5</v>
      </c>
      <c r="D40" t="s">
        <v>138</v>
      </c>
      <c r="E40" t="s">
        <v>81</v>
      </c>
      <c r="F40">
        <v>3</v>
      </c>
      <c r="G40" t="s">
        <v>82</v>
      </c>
      <c r="H40" t="s">
        <v>80</v>
      </c>
      <c r="I40" s="2">
        <v>0.5</v>
      </c>
      <c r="J40" t="s">
        <v>82</v>
      </c>
      <c r="K40" t="s">
        <v>79</v>
      </c>
      <c r="L40" t="s">
        <v>15</v>
      </c>
      <c r="M40">
        <v>0</v>
      </c>
      <c r="N40">
        <v>5</v>
      </c>
      <c r="O40" t="s">
        <v>138</v>
      </c>
      <c r="P40" t="s">
        <v>15</v>
      </c>
      <c r="Q40" s="1" t="s">
        <v>68</v>
      </c>
      <c r="R40" t="s">
        <v>68</v>
      </c>
      <c r="S40" t="e">
        <f>IF(T40="","",INDEX('Backing 4'!U:U,MATCH(T40,'Backing 4'!T:T,0)))</f>
        <v>#N/A</v>
      </c>
      <c r="T40" t="str">
        <f t="shared" si="0"/>
        <v xml:space="preserve"> Senior Officer &amp; Internal Services</v>
      </c>
      <c r="U40" t="e">
        <f>IF(V40="","",INDEX('Backing 4'!Z:Z,MATCH(V40,'Backing 4'!Y:Y,0)))</f>
        <v>#N/A</v>
      </c>
      <c r="V40" t="str">
        <f t="shared" si="1"/>
        <v xml:space="preserve"> Senior Officer</v>
      </c>
      <c r="W40">
        <v>1</v>
      </c>
      <c r="X40" t="e">
        <f>IF(E40="Y","",IF(Y40="Y",INDEX('Backing 2'!B:B,MATCH(D40,'Backing 2'!C:C,0)),D40))</f>
        <v>#N/A</v>
      </c>
      <c r="Y40" t="s">
        <v>79</v>
      </c>
      <c r="Z40">
        <v>2</v>
      </c>
      <c r="AA40" t="s">
        <v>69</v>
      </c>
      <c r="AB40">
        <v>24</v>
      </c>
      <c r="AC40" t="s">
        <v>19</v>
      </c>
      <c r="AD40" t="s">
        <v>19</v>
      </c>
      <c r="AE40" t="s">
        <v>19</v>
      </c>
      <c r="AF40" s="3">
        <v>42095</v>
      </c>
      <c r="AG40">
        <v>5</v>
      </c>
      <c r="AH40">
        <f t="shared" ca="1" si="2"/>
        <v>0.50537750999489073</v>
      </c>
    </row>
    <row r="41" spans="1:34">
      <c r="A41">
        <v>40</v>
      </c>
      <c r="B41" t="s">
        <v>8</v>
      </c>
      <c r="C41">
        <v>6</v>
      </c>
      <c r="D41" t="s">
        <v>134</v>
      </c>
      <c r="E41" t="s">
        <v>81</v>
      </c>
      <c r="F41">
        <v>3</v>
      </c>
      <c r="G41" t="s">
        <v>82</v>
      </c>
      <c r="H41" t="s">
        <v>80</v>
      </c>
      <c r="I41" s="2">
        <v>0.5</v>
      </c>
      <c r="J41" t="s">
        <v>82</v>
      </c>
      <c r="K41" t="s">
        <v>79</v>
      </c>
      <c r="L41" t="s">
        <v>14</v>
      </c>
      <c r="M41">
        <v>0</v>
      </c>
      <c r="N41">
        <v>6</v>
      </c>
      <c r="O41" t="s">
        <v>134</v>
      </c>
      <c r="P41" t="s">
        <v>14</v>
      </c>
      <c r="Q41" s="1" t="s">
        <v>68</v>
      </c>
      <c r="R41" t="s">
        <v>68</v>
      </c>
      <c r="S41" t="e">
        <f>IF(T41="","",INDEX('Backing 4'!U:U,MATCH(T41,'Backing 4'!T:T,0)))</f>
        <v>#N/A</v>
      </c>
      <c r="T41" t="str">
        <f t="shared" si="0"/>
        <v xml:space="preserve"> Junior Officer &amp; Operations</v>
      </c>
      <c r="U41" t="e">
        <f>IF(V41="","",INDEX('Backing 4'!Z:Z,MATCH(V41,'Backing 4'!Y:Y,0)))</f>
        <v>#N/A</v>
      </c>
      <c r="V41" t="str">
        <f t="shared" si="1"/>
        <v xml:space="preserve"> Junior Officer</v>
      </c>
      <c r="W41">
        <v>3</v>
      </c>
      <c r="X41" t="str">
        <f>IF(E41="Y","",IF(Y41="Y",INDEX('Backing 2'!B:B,MATCH(D41,'Backing 2'!C:C,0)),D41))</f>
        <v xml:space="preserve"> Junior Officer</v>
      </c>
      <c r="Y41" t="s">
        <v>81</v>
      </c>
      <c r="Z41">
        <v>2</v>
      </c>
      <c r="AA41" t="s">
        <v>69</v>
      </c>
      <c r="AB41">
        <v>21</v>
      </c>
      <c r="AC41" t="s">
        <v>30</v>
      </c>
      <c r="AD41" t="s">
        <v>74</v>
      </c>
      <c r="AE41" t="s">
        <v>74</v>
      </c>
      <c r="AF41" s="3">
        <v>42826</v>
      </c>
      <c r="AG41">
        <v>3</v>
      </c>
      <c r="AH41">
        <f t="shared" ca="1" si="2"/>
        <v>6.9988408133525803E-2</v>
      </c>
    </row>
    <row r="42" spans="1:34">
      <c r="A42">
        <v>41</v>
      </c>
      <c r="B42" t="s">
        <v>7</v>
      </c>
      <c r="C42">
        <v>6</v>
      </c>
      <c r="D42" t="s">
        <v>134</v>
      </c>
      <c r="E42" t="s">
        <v>81</v>
      </c>
      <c r="F42">
        <v>2</v>
      </c>
      <c r="G42" t="s">
        <v>82</v>
      </c>
      <c r="H42" t="s">
        <v>80</v>
      </c>
      <c r="I42" s="2">
        <v>0.5</v>
      </c>
      <c r="J42" t="s">
        <v>82</v>
      </c>
      <c r="K42" t="s">
        <v>79</v>
      </c>
      <c r="L42" t="s">
        <v>14</v>
      </c>
      <c r="M42">
        <v>0</v>
      </c>
      <c r="N42">
        <v>6</v>
      </c>
      <c r="O42" t="s">
        <v>134</v>
      </c>
      <c r="P42" t="s">
        <v>14</v>
      </c>
      <c r="Q42" s="1" t="s">
        <v>68</v>
      </c>
      <c r="R42" t="s">
        <v>68</v>
      </c>
      <c r="S42" t="e">
        <f>IF(T42="","",INDEX('Backing 4'!U:U,MATCH(T42,'Backing 4'!T:T,0)))</f>
        <v>#N/A</v>
      </c>
      <c r="T42" t="str">
        <f t="shared" si="0"/>
        <v xml:space="preserve"> Junior Officer &amp; Operations</v>
      </c>
      <c r="U42" t="e">
        <f>IF(V42="","",INDEX('Backing 4'!Z:Z,MATCH(V42,'Backing 4'!Y:Y,0)))</f>
        <v>#N/A</v>
      </c>
      <c r="V42" t="str">
        <f t="shared" si="1"/>
        <v xml:space="preserve"> Junior Officer</v>
      </c>
      <c r="W42">
        <v>2</v>
      </c>
      <c r="X42" t="str">
        <f>IF(E42="Y","",IF(Y42="Y",INDEX('Backing 2'!B:B,MATCH(D42,'Backing 2'!C:C,0)),D42))</f>
        <v xml:space="preserve"> Junior Officer</v>
      </c>
      <c r="Y42" t="s">
        <v>81</v>
      </c>
      <c r="Z42">
        <v>3</v>
      </c>
      <c r="AA42" t="s">
        <v>69</v>
      </c>
      <c r="AB42">
        <v>27</v>
      </c>
      <c r="AC42" t="s">
        <v>31</v>
      </c>
      <c r="AD42" t="s">
        <v>74</v>
      </c>
      <c r="AE42" t="s">
        <v>74</v>
      </c>
      <c r="AF42" s="3">
        <v>43191</v>
      </c>
      <c r="AG42">
        <v>2</v>
      </c>
      <c r="AH42">
        <f t="shared" ca="1" si="2"/>
        <v>0.27812787546092366</v>
      </c>
    </row>
    <row r="43" spans="1:34">
      <c r="A43">
        <v>42</v>
      </c>
      <c r="B43" t="s">
        <v>7</v>
      </c>
      <c r="C43">
        <v>6</v>
      </c>
      <c r="D43" t="s">
        <v>134</v>
      </c>
      <c r="E43" t="s">
        <v>81</v>
      </c>
      <c r="F43">
        <v>3</v>
      </c>
      <c r="G43" t="s">
        <v>82</v>
      </c>
      <c r="H43" t="s">
        <v>80</v>
      </c>
      <c r="I43" s="2">
        <v>0.5</v>
      </c>
      <c r="J43" t="s">
        <v>82</v>
      </c>
      <c r="K43" t="s">
        <v>79</v>
      </c>
      <c r="L43" t="s">
        <v>14</v>
      </c>
      <c r="M43">
        <v>0</v>
      </c>
      <c r="N43">
        <v>6</v>
      </c>
      <c r="O43" t="s">
        <v>134</v>
      </c>
      <c r="P43" t="s">
        <v>14</v>
      </c>
      <c r="Q43" s="1" t="s">
        <v>68</v>
      </c>
      <c r="R43" t="s">
        <v>68</v>
      </c>
      <c r="S43" t="e">
        <f>IF(T43="","",INDEX('Backing 4'!U:U,MATCH(T43,'Backing 4'!T:T,0)))</f>
        <v>#N/A</v>
      </c>
      <c r="T43" t="str">
        <f t="shared" si="0"/>
        <v xml:space="preserve"> Junior Officer &amp; Operations</v>
      </c>
      <c r="U43" t="e">
        <f>IF(V43="","",INDEX('Backing 4'!Z:Z,MATCH(V43,'Backing 4'!Y:Y,0)))</f>
        <v>#N/A</v>
      </c>
      <c r="V43" t="str">
        <f t="shared" si="1"/>
        <v xml:space="preserve"> Junior Officer</v>
      </c>
      <c r="W43">
        <v>1</v>
      </c>
      <c r="X43" t="str">
        <f>IF(E43="Y","",IF(Y43="Y",INDEX('Backing 2'!B:B,MATCH(D43,'Backing 2'!C:C,0)),D43))</f>
        <v xml:space="preserve"> Junior Officer</v>
      </c>
      <c r="Y43" t="s">
        <v>81</v>
      </c>
      <c r="Z43">
        <v>0</v>
      </c>
      <c r="AA43" t="s">
        <v>69</v>
      </c>
      <c r="AB43">
        <v>28</v>
      </c>
      <c r="AC43" t="s">
        <v>19</v>
      </c>
      <c r="AD43" t="s">
        <v>19</v>
      </c>
      <c r="AE43" t="s">
        <v>19</v>
      </c>
      <c r="AF43" s="3">
        <v>43556</v>
      </c>
      <c r="AG43">
        <v>1</v>
      </c>
      <c r="AH43">
        <f t="shared" ca="1" si="2"/>
        <v>0.58444012070404006</v>
      </c>
    </row>
    <row r="44" spans="1:34">
      <c r="A44">
        <v>43</v>
      </c>
      <c r="B44" t="s">
        <v>8</v>
      </c>
      <c r="C44">
        <v>3</v>
      </c>
      <c r="D44" t="s">
        <v>137</v>
      </c>
      <c r="E44" t="s">
        <v>81</v>
      </c>
      <c r="F44">
        <v>2</v>
      </c>
      <c r="G44" t="s">
        <v>82</v>
      </c>
      <c r="H44" t="s">
        <v>80</v>
      </c>
      <c r="I44" s="2">
        <v>0.5</v>
      </c>
      <c r="J44" t="s">
        <v>82</v>
      </c>
      <c r="K44" t="s">
        <v>79</v>
      </c>
      <c r="L44" t="s">
        <v>14</v>
      </c>
      <c r="M44">
        <v>0</v>
      </c>
      <c r="N44">
        <v>3</v>
      </c>
      <c r="O44" t="s">
        <v>137</v>
      </c>
      <c r="P44" t="s">
        <v>14</v>
      </c>
      <c r="Q44" s="1" t="s">
        <v>68</v>
      </c>
      <c r="R44" t="s">
        <v>68</v>
      </c>
      <c r="S44" t="e">
        <f>IF(T44="","",INDEX('Backing 4'!U:U,MATCH(T44,'Backing 4'!T:T,0)))</f>
        <v>#N/A</v>
      </c>
      <c r="T44" t="str">
        <f t="shared" si="0"/>
        <v xml:space="preserve"> Senior Manager &amp; Operations</v>
      </c>
      <c r="U44" t="e">
        <f>IF(V44="","",INDEX('Backing 4'!Z:Z,MATCH(V44,'Backing 4'!Y:Y,0)))</f>
        <v>#N/A</v>
      </c>
      <c r="V44" t="str">
        <f t="shared" si="1"/>
        <v xml:space="preserve"> Senior Manager</v>
      </c>
      <c r="W44">
        <v>4</v>
      </c>
      <c r="X44" t="str">
        <f>IF(E44="Y","",IF(Y44="Y",INDEX('Backing 2'!B:B,MATCH(D44,'Backing 2'!C:C,0)),D44))</f>
        <v xml:space="preserve"> Senior Manager</v>
      </c>
      <c r="Y44" t="s">
        <v>81</v>
      </c>
      <c r="Z44">
        <v>2</v>
      </c>
      <c r="AA44" t="s">
        <v>71</v>
      </c>
      <c r="AB44">
        <v>40</v>
      </c>
      <c r="AC44" t="s">
        <v>19</v>
      </c>
      <c r="AD44" t="s">
        <v>19</v>
      </c>
      <c r="AE44" t="s">
        <v>19</v>
      </c>
      <c r="AF44" s="3">
        <v>42461</v>
      </c>
      <c r="AG44">
        <v>4</v>
      </c>
      <c r="AH44">
        <f t="shared" ca="1" si="2"/>
        <v>1.8061288614105386E-2</v>
      </c>
    </row>
    <row r="45" spans="1:34">
      <c r="A45">
        <v>44</v>
      </c>
      <c r="B45" t="s">
        <v>7</v>
      </c>
      <c r="C45">
        <v>6</v>
      </c>
      <c r="D45" t="s">
        <v>134</v>
      </c>
      <c r="E45" t="s">
        <v>81</v>
      </c>
      <c r="F45">
        <v>2</v>
      </c>
      <c r="G45" t="s">
        <v>82</v>
      </c>
      <c r="H45" t="s">
        <v>80</v>
      </c>
      <c r="I45" s="2">
        <v>0.5</v>
      </c>
      <c r="J45" t="s">
        <v>82</v>
      </c>
      <c r="K45" t="s">
        <v>79</v>
      </c>
      <c r="L45" t="s">
        <v>16</v>
      </c>
      <c r="M45">
        <v>0</v>
      </c>
      <c r="N45">
        <v>6</v>
      </c>
      <c r="O45" t="s">
        <v>134</v>
      </c>
      <c r="P45" t="s">
        <v>16</v>
      </c>
      <c r="Q45" s="1" t="s">
        <v>68</v>
      </c>
      <c r="R45" t="s">
        <v>68</v>
      </c>
      <c r="S45" t="e">
        <f>IF(T45="","",INDEX('Backing 4'!U:U,MATCH(T45,'Backing 4'!T:T,0)))</f>
        <v>#N/A</v>
      </c>
      <c r="T45" t="str">
        <f t="shared" si="0"/>
        <v xml:space="preserve"> Junior Officer &amp; Sales &amp; Marketing</v>
      </c>
      <c r="U45" t="e">
        <f>IF(V45="","",INDEX('Backing 4'!Z:Z,MATCH(V45,'Backing 4'!Y:Y,0)))</f>
        <v>#N/A</v>
      </c>
      <c r="V45" t="str">
        <f t="shared" si="1"/>
        <v xml:space="preserve"> Junior Officer</v>
      </c>
      <c r="W45">
        <v>2</v>
      </c>
      <c r="X45" t="str">
        <f>IF(E45="Y","",IF(Y45="Y",INDEX('Backing 2'!B:B,MATCH(D45,'Backing 2'!C:C,0)),D45))</f>
        <v xml:space="preserve"> Junior Officer</v>
      </c>
      <c r="Y45" t="s">
        <v>81</v>
      </c>
      <c r="Z45">
        <v>2</v>
      </c>
      <c r="AA45" t="s">
        <v>69</v>
      </c>
      <c r="AB45">
        <v>23</v>
      </c>
      <c r="AC45" t="s">
        <v>26</v>
      </c>
      <c r="AD45" t="s">
        <v>74</v>
      </c>
      <c r="AE45" t="s">
        <v>74</v>
      </c>
      <c r="AF45" s="3">
        <v>43191</v>
      </c>
      <c r="AG45">
        <v>2</v>
      </c>
      <c r="AH45">
        <f t="shared" ca="1" si="2"/>
        <v>0.29495879335978736</v>
      </c>
    </row>
    <row r="46" spans="1:34">
      <c r="A46">
        <v>45</v>
      </c>
      <c r="B46" t="s">
        <v>8</v>
      </c>
      <c r="C46">
        <v>2</v>
      </c>
      <c r="D46" s="4" t="s">
        <v>136</v>
      </c>
      <c r="E46" t="s">
        <v>81</v>
      </c>
      <c r="F46">
        <v>2</v>
      </c>
      <c r="G46" t="s">
        <v>82</v>
      </c>
      <c r="H46" t="s">
        <v>82</v>
      </c>
      <c r="I46" s="2">
        <v>0.5</v>
      </c>
      <c r="J46" t="s">
        <v>80</v>
      </c>
      <c r="K46" t="s">
        <v>79</v>
      </c>
      <c r="L46" t="s">
        <v>15</v>
      </c>
      <c r="M46" t="s">
        <v>83</v>
      </c>
      <c r="N46">
        <v>0</v>
      </c>
      <c r="O46" t="s">
        <v>142</v>
      </c>
      <c r="P46" t="s">
        <v>15</v>
      </c>
      <c r="Q46" s="1" t="s">
        <v>68</v>
      </c>
      <c r="R46" t="s">
        <v>68</v>
      </c>
      <c r="S46" t="e">
        <f>IF(T46="","",INDEX('Backing 4'!U:U,MATCH(T46,'Backing 4'!T:T,0)))</f>
        <v>#N/A</v>
      </c>
      <c r="T46" t="str">
        <f t="shared" si="0"/>
        <v xml:space="preserve"> Director &amp; Internal Services</v>
      </c>
      <c r="U46" t="e">
        <f>IF(V46="","",INDEX('Backing 4'!Z:Z,MATCH(V46,'Backing 4'!Y:Y,0)))</f>
        <v>#N/A</v>
      </c>
      <c r="V46" t="str">
        <f t="shared" si="1"/>
        <v xml:space="preserve"> Director</v>
      </c>
      <c r="W46">
        <v>3</v>
      </c>
      <c r="X46" t="str">
        <f>IF(E46="Y","",IF(Y46="Y",INDEX('Backing 2'!B:B,MATCH(D46,'Backing 2'!C:C,0)),D46))</f>
        <v xml:space="preserve"> Director</v>
      </c>
      <c r="Y46" t="s">
        <v>81</v>
      </c>
      <c r="Z46">
        <v>3</v>
      </c>
      <c r="AA46" t="s">
        <v>72</v>
      </c>
      <c r="AB46">
        <v>54</v>
      </c>
      <c r="AC46" t="s">
        <v>19</v>
      </c>
      <c r="AD46" t="s">
        <v>19</v>
      </c>
      <c r="AE46" t="s">
        <v>19</v>
      </c>
      <c r="AF46" s="3">
        <v>40634</v>
      </c>
      <c r="AG46">
        <v>9</v>
      </c>
      <c r="AH46">
        <f t="shared" ca="1" si="2"/>
        <v>0.73520817262272997</v>
      </c>
    </row>
    <row r="47" spans="1:34">
      <c r="A47">
        <v>46</v>
      </c>
      <c r="B47" t="s">
        <v>8</v>
      </c>
      <c r="C47">
        <v>6</v>
      </c>
      <c r="D47" t="s">
        <v>134</v>
      </c>
      <c r="E47" t="s">
        <v>81</v>
      </c>
      <c r="F47">
        <v>2</v>
      </c>
      <c r="G47" t="s">
        <v>82</v>
      </c>
      <c r="H47" t="s">
        <v>80</v>
      </c>
      <c r="I47" s="2">
        <v>0.5</v>
      </c>
      <c r="J47" t="s">
        <v>82</v>
      </c>
      <c r="K47" t="s">
        <v>79</v>
      </c>
      <c r="L47" t="s">
        <v>15</v>
      </c>
      <c r="M47">
        <v>0</v>
      </c>
      <c r="N47">
        <v>6</v>
      </c>
      <c r="O47" t="s">
        <v>134</v>
      </c>
      <c r="P47" t="s">
        <v>15</v>
      </c>
      <c r="Q47" s="1" t="s">
        <v>68</v>
      </c>
      <c r="R47" t="s">
        <v>68</v>
      </c>
      <c r="S47" t="e">
        <f>IF(T47="","",INDEX('Backing 4'!U:U,MATCH(T47,'Backing 4'!T:T,0)))</f>
        <v>#N/A</v>
      </c>
      <c r="T47" t="str">
        <f t="shared" si="0"/>
        <v xml:space="preserve"> Junior Officer &amp; Internal Services</v>
      </c>
      <c r="U47" t="e">
        <f>IF(V47="","",INDEX('Backing 4'!Z:Z,MATCH(V47,'Backing 4'!Y:Y,0)))</f>
        <v>#N/A</v>
      </c>
      <c r="V47" t="str">
        <f t="shared" si="1"/>
        <v xml:space="preserve"> Junior Officer</v>
      </c>
      <c r="W47">
        <v>3</v>
      </c>
      <c r="X47" t="str">
        <f>IF(E47="Y","",IF(Y47="Y",INDEX('Backing 2'!B:B,MATCH(D47,'Backing 2'!C:C,0)),D47))</f>
        <v xml:space="preserve"> Junior Officer</v>
      </c>
      <c r="Y47" t="s">
        <v>81</v>
      </c>
      <c r="Z47">
        <v>3</v>
      </c>
      <c r="AA47" t="s">
        <v>69</v>
      </c>
      <c r="AB47">
        <v>26</v>
      </c>
      <c r="AC47" t="s">
        <v>31</v>
      </c>
      <c r="AD47" t="s">
        <v>74</v>
      </c>
      <c r="AE47" t="s">
        <v>74</v>
      </c>
      <c r="AF47" s="3">
        <v>42826</v>
      </c>
      <c r="AG47">
        <v>3</v>
      </c>
      <c r="AH47">
        <f t="shared" ca="1" si="2"/>
        <v>0.37686889588752159</v>
      </c>
    </row>
    <row r="48" spans="1:34">
      <c r="A48">
        <v>47</v>
      </c>
      <c r="B48" t="s">
        <v>7</v>
      </c>
      <c r="C48">
        <v>4</v>
      </c>
      <c r="D48" t="s">
        <v>135</v>
      </c>
      <c r="E48" t="s">
        <v>81</v>
      </c>
      <c r="F48">
        <v>2</v>
      </c>
      <c r="G48" t="s">
        <v>82</v>
      </c>
      <c r="H48" t="s">
        <v>80</v>
      </c>
      <c r="I48" s="2">
        <v>0.5</v>
      </c>
      <c r="J48" t="s">
        <v>82</v>
      </c>
      <c r="K48" t="s">
        <v>79</v>
      </c>
      <c r="L48" t="s">
        <v>13</v>
      </c>
      <c r="M48">
        <v>0</v>
      </c>
      <c r="N48">
        <v>4</v>
      </c>
      <c r="O48" t="s">
        <v>135</v>
      </c>
      <c r="P48" t="s">
        <v>13</v>
      </c>
      <c r="Q48" s="1" t="s">
        <v>68</v>
      </c>
      <c r="R48" t="s">
        <v>68</v>
      </c>
      <c r="S48" t="e">
        <f>IF(T48="","",INDEX('Backing 4'!U:U,MATCH(T48,'Backing 4'!T:T,0)))</f>
        <v>#N/A</v>
      </c>
      <c r="T48" t="str">
        <f t="shared" si="0"/>
        <v xml:space="preserve"> Manager &amp; HR</v>
      </c>
      <c r="U48" t="e">
        <f>IF(V48="","",INDEX('Backing 4'!Z:Z,MATCH(V48,'Backing 4'!Y:Y,0)))</f>
        <v>#N/A</v>
      </c>
      <c r="V48" t="str">
        <f t="shared" si="1"/>
        <v xml:space="preserve"> Manager</v>
      </c>
      <c r="W48">
        <v>2</v>
      </c>
      <c r="X48" t="str">
        <f>IF(E48="Y","",IF(Y48="Y",INDEX('Backing 2'!B:B,MATCH(D48,'Backing 2'!C:C,0)),D48))</f>
        <v xml:space="preserve"> Manager</v>
      </c>
      <c r="Y48" t="s">
        <v>81</v>
      </c>
      <c r="Z48">
        <v>3</v>
      </c>
      <c r="AA48" t="s">
        <v>70</v>
      </c>
      <c r="AB48">
        <v>36</v>
      </c>
      <c r="AC48" t="s">
        <v>39</v>
      </c>
      <c r="AD48" t="s">
        <v>74</v>
      </c>
      <c r="AE48" t="s">
        <v>74</v>
      </c>
      <c r="AF48" s="3">
        <v>42461</v>
      </c>
      <c r="AG48">
        <v>4</v>
      </c>
      <c r="AH48">
        <f t="shared" ca="1" si="2"/>
        <v>3.8337845655459502E-2</v>
      </c>
    </row>
    <row r="49" spans="1:34">
      <c r="A49">
        <v>48</v>
      </c>
      <c r="B49" t="s">
        <v>7</v>
      </c>
      <c r="C49">
        <v>6</v>
      </c>
      <c r="D49" t="s">
        <v>134</v>
      </c>
      <c r="E49" t="s">
        <v>81</v>
      </c>
      <c r="F49">
        <v>3</v>
      </c>
      <c r="G49" t="s">
        <v>82</v>
      </c>
      <c r="H49" t="s">
        <v>80</v>
      </c>
      <c r="I49" s="2">
        <v>0.5</v>
      </c>
      <c r="J49" t="s">
        <v>82</v>
      </c>
      <c r="K49" t="s">
        <v>79</v>
      </c>
      <c r="L49" t="s">
        <v>14</v>
      </c>
      <c r="M49">
        <v>0</v>
      </c>
      <c r="N49">
        <v>6</v>
      </c>
      <c r="O49" t="s">
        <v>134</v>
      </c>
      <c r="P49" t="s">
        <v>14</v>
      </c>
      <c r="Q49" s="1" t="s">
        <v>68</v>
      </c>
      <c r="R49" t="s">
        <v>68</v>
      </c>
      <c r="S49" t="e">
        <f>IF(T49="","",INDEX('Backing 4'!U:U,MATCH(T49,'Backing 4'!T:T,0)))</f>
        <v>#N/A</v>
      </c>
      <c r="T49" t="str">
        <f t="shared" si="0"/>
        <v xml:space="preserve"> Junior Officer &amp; Operations</v>
      </c>
      <c r="U49" t="e">
        <f>IF(V49="","",INDEX('Backing 4'!Z:Z,MATCH(V49,'Backing 4'!Y:Y,0)))</f>
        <v>#N/A</v>
      </c>
      <c r="V49" t="str">
        <f t="shared" si="1"/>
        <v xml:space="preserve"> Junior Officer</v>
      </c>
      <c r="W49">
        <v>3</v>
      </c>
      <c r="X49" t="str">
        <f>IF(E49="Y","",IF(Y49="Y",INDEX('Backing 2'!B:B,MATCH(D49,'Backing 2'!C:C,0)),D49))</f>
        <v xml:space="preserve"> Junior Officer</v>
      </c>
      <c r="Y49" t="s">
        <v>81</v>
      </c>
      <c r="Z49">
        <v>3</v>
      </c>
      <c r="AA49" t="s">
        <v>69</v>
      </c>
      <c r="AB49">
        <v>22</v>
      </c>
      <c r="AC49" t="s">
        <v>31</v>
      </c>
      <c r="AD49" t="s">
        <v>74</v>
      </c>
      <c r="AE49" t="s">
        <v>74</v>
      </c>
      <c r="AF49" s="3">
        <v>42826</v>
      </c>
      <c r="AG49">
        <v>3</v>
      </c>
      <c r="AH49">
        <f t="shared" ca="1" si="2"/>
        <v>0.91490128678855043</v>
      </c>
    </row>
    <row r="50" spans="1:34">
      <c r="A50">
        <v>49</v>
      </c>
      <c r="B50" t="s">
        <v>7</v>
      </c>
      <c r="C50">
        <v>6</v>
      </c>
      <c r="D50" t="s">
        <v>134</v>
      </c>
      <c r="E50" t="s">
        <v>81</v>
      </c>
      <c r="F50">
        <v>2</v>
      </c>
      <c r="G50" t="s">
        <v>82</v>
      </c>
      <c r="H50" t="s">
        <v>80</v>
      </c>
      <c r="I50" s="2">
        <v>0.5</v>
      </c>
      <c r="J50" t="s">
        <v>82</v>
      </c>
      <c r="K50" t="s">
        <v>79</v>
      </c>
      <c r="L50" t="s">
        <v>13</v>
      </c>
      <c r="M50">
        <v>0</v>
      </c>
      <c r="N50">
        <v>6</v>
      </c>
      <c r="O50" t="s">
        <v>134</v>
      </c>
      <c r="P50" t="s">
        <v>13</v>
      </c>
      <c r="Q50" s="1" t="s">
        <v>68</v>
      </c>
      <c r="R50" t="s">
        <v>68</v>
      </c>
      <c r="S50" t="e">
        <f>IF(T50="","",INDEX('Backing 4'!U:U,MATCH(T50,'Backing 4'!T:T,0)))</f>
        <v>#N/A</v>
      </c>
      <c r="T50" t="str">
        <f t="shared" si="0"/>
        <v xml:space="preserve"> Junior Officer &amp; HR</v>
      </c>
      <c r="U50" t="e">
        <f>IF(V50="","",INDEX('Backing 4'!Z:Z,MATCH(V50,'Backing 4'!Y:Y,0)))</f>
        <v>#N/A</v>
      </c>
      <c r="V50" t="str">
        <f t="shared" si="1"/>
        <v xml:space="preserve"> Junior Officer</v>
      </c>
      <c r="W50">
        <v>2</v>
      </c>
      <c r="X50" t="str">
        <f>IF(E50="Y","",IF(Y50="Y",INDEX('Backing 2'!B:B,MATCH(D50,'Backing 2'!C:C,0)),D50))</f>
        <v xml:space="preserve"> Junior Officer</v>
      </c>
      <c r="Y50" t="s">
        <v>81</v>
      </c>
      <c r="Z50">
        <v>2</v>
      </c>
      <c r="AA50" t="s">
        <v>70</v>
      </c>
      <c r="AB50">
        <v>31</v>
      </c>
      <c r="AC50" t="s">
        <v>19</v>
      </c>
      <c r="AD50" t="s">
        <v>19</v>
      </c>
      <c r="AE50" t="s">
        <v>19</v>
      </c>
      <c r="AF50" s="3">
        <v>43191</v>
      </c>
      <c r="AG50">
        <v>2</v>
      </c>
      <c r="AH50">
        <f t="shared" ca="1" si="2"/>
        <v>0.48282169548322196</v>
      </c>
    </row>
    <row r="51" spans="1:34">
      <c r="A51">
        <v>50</v>
      </c>
      <c r="B51" t="s">
        <v>7</v>
      </c>
      <c r="C51">
        <v>6</v>
      </c>
      <c r="D51" t="s">
        <v>134</v>
      </c>
      <c r="E51" t="s">
        <v>81</v>
      </c>
      <c r="F51">
        <v>3</v>
      </c>
      <c r="G51" t="s">
        <v>82</v>
      </c>
      <c r="H51" t="s">
        <v>80</v>
      </c>
      <c r="I51" s="2">
        <v>0.5</v>
      </c>
      <c r="J51" t="s">
        <v>82</v>
      </c>
      <c r="K51" t="s">
        <v>79</v>
      </c>
      <c r="L51" t="s">
        <v>14</v>
      </c>
      <c r="M51">
        <v>0</v>
      </c>
      <c r="N51">
        <v>6</v>
      </c>
      <c r="O51" t="s">
        <v>134</v>
      </c>
      <c r="P51" t="s">
        <v>14</v>
      </c>
      <c r="Q51" s="1" t="s">
        <v>68</v>
      </c>
      <c r="R51" t="s">
        <v>68</v>
      </c>
      <c r="S51" t="e">
        <f>IF(T51="","",INDEX('Backing 4'!U:U,MATCH(T51,'Backing 4'!T:T,0)))</f>
        <v>#N/A</v>
      </c>
      <c r="T51" t="str">
        <f t="shared" si="0"/>
        <v xml:space="preserve"> Junior Officer &amp; Operations</v>
      </c>
      <c r="U51" t="e">
        <f>IF(V51="","",INDEX('Backing 4'!Z:Z,MATCH(V51,'Backing 4'!Y:Y,0)))</f>
        <v>#N/A</v>
      </c>
      <c r="V51" t="str">
        <f t="shared" si="1"/>
        <v xml:space="preserve"> Junior Officer</v>
      </c>
      <c r="W51">
        <v>2</v>
      </c>
      <c r="X51" t="str">
        <f>IF(E51="Y","",IF(Y51="Y",INDEX('Backing 2'!B:B,MATCH(D51,'Backing 2'!C:C,0)),D51))</f>
        <v xml:space="preserve"> Junior Officer</v>
      </c>
      <c r="Y51" t="s">
        <v>81</v>
      </c>
      <c r="Z51">
        <v>3</v>
      </c>
      <c r="AA51" t="s">
        <v>69</v>
      </c>
      <c r="AB51">
        <v>22</v>
      </c>
      <c r="AC51" t="s">
        <v>39</v>
      </c>
      <c r="AD51" t="s">
        <v>74</v>
      </c>
      <c r="AE51" t="s">
        <v>74</v>
      </c>
      <c r="AF51" s="3">
        <v>43191</v>
      </c>
      <c r="AG51">
        <v>2</v>
      </c>
      <c r="AH51">
        <f t="shared" ca="1" si="2"/>
        <v>0.4130027453512316</v>
      </c>
    </row>
    <row r="52" spans="1:34">
      <c r="A52">
        <v>51</v>
      </c>
      <c r="B52" t="s">
        <v>8</v>
      </c>
      <c r="C52">
        <v>5</v>
      </c>
      <c r="D52" t="s">
        <v>138</v>
      </c>
      <c r="E52" t="s">
        <v>81</v>
      </c>
      <c r="F52">
        <v>2</v>
      </c>
      <c r="G52" t="s">
        <v>80</v>
      </c>
      <c r="H52" t="s">
        <v>80</v>
      </c>
      <c r="I52" s="2">
        <v>0.5</v>
      </c>
      <c r="J52" t="s">
        <v>82</v>
      </c>
      <c r="K52" t="s">
        <v>79</v>
      </c>
      <c r="L52" t="s">
        <v>14</v>
      </c>
      <c r="M52">
        <v>0</v>
      </c>
      <c r="N52">
        <v>4</v>
      </c>
      <c r="O52" t="s">
        <v>135</v>
      </c>
      <c r="P52" t="s">
        <v>14</v>
      </c>
      <c r="Q52" s="1" t="s">
        <v>68</v>
      </c>
      <c r="R52" t="s">
        <v>68</v>
      </c>
      <c r="S52" t="e">
        <f>IF(T52="","",INDEX('Backing 4'!U:U,MATCH(T52,'Backing 4'!T:T,0)))</f>
        <v>#N/A</v>
      </c>
      <c r="T52" t="str">
        <f t="shared" si="0"/>
        <v xml:space="preserve"> Senior Officer &amp; Operations</v>
      </c>
      <c r="U52" t="e">
        <f>IF(V52="","",INDEX('Backing 4'!Z:Z,MATCH(V52,'Backing 4'!Y:Y,0)))</f>
        <v>#N/A</v>
      </c>
      <c r="V52" t="str">
        <f t="shared" si="1"/>
        <v xml:space="preserve"> Senior Officer</v>
      </c>
      <c r="W52">
        <v>6</v>
      </c>
      <c r="X52" t="str">
        <f>IF(E52="Y","",IF(Y52="Y",INDEX('Backing 2'!B:B,MATCH(D52,'Backing 2'!C:C,0)),D52))</f>
        <v xml:space="preserve"> Senior Officer</v>
      </c>
      <c r="Y52" t="s">
        <v>81</v>
      </c>
      <c r="Z52">
        <v>3</v>
      </c>
      <c r="AA52" t="s">
        <v>70</v>
      </c>
      <c r="AB52">
        <v>31</v>
      </c>
      <c r="AC52" t="s">
        <v>19</v>
      </c>
      <c r="AD52" t="s">
        <v>19</v>
      </c>
      <c r="AE52" t="s">
        <v>19</v>
      </c>
      <c r="AF52" s="3">
        <v>41000</v>
      </c>
      <c r="AG52">
        <v>8</v>
      </c>
      <c r="AH52">
        <f t="shared" ca="1" si="2"/>
        <v>0.96536198715529054</v>
      </c>
    </row>
    <row r="53" spans="1:34">
      <c r="A53">
        <v>52</v>
      </c>
      <c r="B53" t="s">
        <v>8</v>
      </c>
      <c r="C53">
        <v>4</v>
      </c>
      <c r="D53" t="s">
        <v>135</v>
      </c>
      <c r="E53" t="s">
        <v>81</v>
      </c>
      <c r="F53">
        <v>2</v>
      </c>
      <c r="G53" t="s">
        <v>82</v>
      </c>
      <c r="H53" t="s">
        <v>80</v>
      </c>
      <c r="I53" s="2">
        <v>0.5</v>
      </c>
      <c r="J53" t="s">
        <v>82</v>
      </c>
      <c r="K53" t="s">
        <v>79</v>
      </c>
      <c r="L53" t="s">
        <v>16</v>
      </c>
      <c r="M53">
        <v>0</v>
      </c>
      <c r="N53">
        <v>4</v>
      </c>
      <c r="O53" t="s">
        <v>135</v>
      </c>
      <c r="P53" t="s">
        <v>16</v>
      </c>
      <c r="Q53" s="1" t="s">
        <v>68</v>
      </c>
      <c r="R53" t="s">
        <v>68</v>
      </c>
      <c r="S53" t="e">
        <f>IF(T53="","",INDEX('Backing 4'!U:U,MATCH(T53,'Backing 4'!T:T,0)))</f>
        <v>#N/A</v>
      </c>
      <c r="T53" t="str">
        <f t="shared" si="0"/>
        <v xml:space="preserve"> Manager &amp; Sales &amp; Marketing</v>
      </c>
      <c r="U53" t="e">
        <f>IF(V53="","",INDEX('Backing 4'!Z:Z,MATCH(V53,'Backing 4'!Y:Y,0)))</f>
        <v>#N/A</v>
      </c>
      <c r="V53" t="str">
        <f t="shared" si="1"/>
        <v xml:space="preserve"> Manager</v>
      </c>
      <c r="W53">
        <v>2</v>
      </c>
      <c r="X53" t="str">
        <f>IF(E53="Y","",IF(Y53="Y",INDEX('Backing 2'!B:B,MATCH(D53,'Backing 2'!C:C,0)),D53))</f>
        <v xml:space="preserve"> Manager</v>
      </c>
      <c r="Y53" t="s">
        <v>81</v>
      </c>
      <c r="Z53">
        <v>3</v>
      </c>
      <c r="AA53" t="s">
        <v>70</v>
      </c>
      <c r="AB53">
        <v>32</v>
      </c>
      <c r="AC53" t="s">
        <v>31</v>
      </c>
      <c r="AD53" t="s">
        <v>74</v>
      </c>
      <c r="AE53" t="s">
        <v>74</v>
      </c>
      <c r="AF53" s="3">
        <v>41000</v>
      </c>
      <c r="AG53">
        <v>8</v>
      </c>
      <c r="AH53">
        <f t="shared" ca="1" si="2"/>
        <v>0.90076141672732579</v>
      </c>
    </row>
    <row r="54" spans="1:34">
      <c r="A54">
        <v>53</v>
      </c>
      <c r="B54" t="s">
        <v>8</v>
      </c>
      <c r="C54">
        <v>5</v>
      </c>
      <c r="D54" t="s">
        <v>138</v>
      </c>
      <c r="E54" t="s">
        <v>81</v>
      </c>
      <c r="F54">
        <v>2</v>
      </c>
      <c r="G54" t="s">
        <v>82</v>
      </c>
      <c r="H54" t="s">
        <v>80</v>
      </c>
      <c r="I54" s="2">
        <v>0.5</v>
      </c>
      <c r="J54" t="s">
        <v>82</v>
      </c>
      <c r="K54" t="s">
        <v>79</v>
      </c>
      <c r="L54" t="s">
        <v>16</v>
      </c>
      <c r="M54">
        <v>0</v>
      </c>
      <c r="N54">
        <v>5</v>
      </c>
      <c r="O54" t="s">
        <v>138</v>
      </c>
      <c r="P54" t="s">
        <v>16</v>
      </c>
      <c r="Q54" s="1" t="s">
        <v>68</v>
      </c>
      <c r="R54" t="s">
        <v>68</v>
      </c>
      <c r="S54" t="e">
        <f>IF(T54="","",INDEX('Backing 4'!U:U,MATCH(T54,'Backing 4'!T:T,0)))</f>
        <v>#N/A</v>
      </c>
      <c r="T54" t="str">
        <f t="shared" si="0"/>
        <v xml:space="preserve"> Senior Officer &amp; Sales &amp; Marketing</v>
      </c>
      <c r="U54" t="e">
        <f>IF(V54="","",INDEX('Backing 4'!Z:Z,MATCH(V54,'Backing 4'!Y:Y,0)))</f>
        <v>#N/A</v>
      </c>
      <c r="V54" t="str">
        <f t="shared" si="1"/>
        <v xml:space="preserve"> Senior Officer</v>
      </c>
      <c r="W54">
        <v>3</v>
      </c>
      <c r="X54" t="str">
        <f>IF(E54="Y","",IF(Y54="Y",INDEX('Backing 2'!B:B,MATCH(D54,'Backing 2'!C:C,0)),D54))</f>
        <v xml:space="preserve"> Senior Officer</v>
      </c>
      <c r="Y54" t="s">
        <v>81</v>
      </c>
      <c r="Z54">
        <v>2</v>
      </c>
      <c r="AA54" t="s">
        <v>70</v>
      </c>
      <c r="AB54">
        <v>30</v>
      </c>
      <c r="AC54" t="s">
        <v>19</v>
      </c>
      <c r="AD54" t="s">
        <v>19</v>
      </c>
      <c r="AE54" t="s">
        <v>19</v>
      </c>
      <c r="AF54" s="3">
        <v>41000</v>
      </c>
      <c r="AG54">
        <v>8</v>
      </c>
      <c r="AH54">
        <f t="shared" ca="1" si="2"/>
        <v>0.58241604008576831</v>
      </c>
    </row>
    <row r="55" spans="1:34">
      <c r="A55">
        <v>54</v>
      </c>
      <c r="B55" t="s">
        <v>8</v>
      </c>
      <c r="C55">
        <v>5</v>
      </c>
      <c r="D55" t="s">
        <v>138</v>
      </c>
      <c r="E55" t="s">
        <v>81</v>
      </c>
      <c r="F55">
        <v>2</v>
      </c>
      <c r="G55" t="s">
        <v>80</v>
      </c>
      <c r="H55" t="s">
        <v>80</v>
      </c>
      <c r="I55" s="2">
        <v>0.5</v>
      </c>
      <c r="J55" t="s">
        <v>82</v>
      </c>
      <c r="K55" t="s">
        <v>79</v>
      </c>
      <c r="L55" t="s">
        <v>14</v>
      </c>
      <c r="M55">
        <v>0</v>
      </c>
      <c r="N55">
        <v>4</v>
      </c>
      <c r="O55" t="s">
        <v>135</v>
      </c>
      <c r="P55" t="s">
        <v>14</v>
      </c>
      <c r="Q55" s="1" t="s">
        <v>68</v>
      </c>
      <c r="R55" t="s">
        <v>68</v>
      </c>
      <c r="S55" t="e">
        <f>IF(T55="","",INDEX('Backing 4'!U:U,MATCH(T55,'Backing 4'!T:T,0)))</f>
        <v>#N/A</v>
      </c>
      <c r="T55" t="str">
        <f t="shared" si="0"/>
        <v xml:space="preserve"> Senior Officer &amp; Operations</v>
      </c>
      <c r="U55" t="e">
        <f>IF(V55="","",INDEX('Backing 4'!Z:Z,MATCH(V55,'Backing 4'!Y:Y,0)))</f>
        <v>#N/A</v>
      </c>
      <c r="V55" t="str">
        <f t="shared" si="1"/>
        <v xml:space="preserve"> Senior Officer</v>
      </c>
      <c r="W55">
        <v>7</v>
      </c>
      <c r="X55" t="str">
        <f>IF(E55="Y","",IF(Y55="Y",INDEX('Backing 2'!B:B,MATCH(D55,'Backing 2'!C:C,0)),D55))</f>
        <v xml:space="preserve"> Senior Officer</v>
      </c>
      <c r="Y55" t="s">
        <v>81</v>
      </c>
      <c r="Z55">
        <v>3</v>
      </c>
      <c r="AA55" t="s">
        <v>70</v>
      </c>
      <c r="AB55">
        <v>33</v>
      </c>
      <c r="AC55" t="s">
        <v>19</v>
      </c>
      <c r="AD55" t="s">
        <v>19</v>
      </c>
      <c r="AE55" t="s">
        <v>19</v>
      </c>
      <c r="AF55" s="3">
        <v>41000</v>
      </c>
      <c r="AG55">
        <v>8</v>
      </c>
      <c r="AH55">
        <f t="shared" ca="1" si="2"/>
        <v>0.62134218069118174</v>
      </c>
    </row>
    <row r="56" spans="1:34">
      <c r="A56">
        <v>55</v>
      </c>
      <c r="B56" t="s">
        <v>7</v>
      </c>
      <c r="C56">
        <v>6</v>
      </c>
      <c r="D56" t="s">
        <v>134</v>
      </c>
      <c r="E56" t="s">
        <v>81</v>
      </c>
      <c r="F56">
        <v>2</v>
      </c>
      <c r="G56" t="s">
        <v>82</v>
      </c>
      <c r="H56" t="s">
        <v>80</v>
      </c>
      <c r="I56" s="2">
        <v>0.5</v>
      </c>
      <c r="J56" t="s">
        <v>82</v>
      </c>
      <c r="K56" t="s">
        <v>79</v>
      </c>
      <c r="L56" t="s">
        <v>16</v>
      </c>
      <c r="M56">
        <v>0</v>
      </c>
      <c r="N56">
        <v>6</v>
      </c>
      <c r="O56" t="s">
        <v>134</v>
      </c>
      <c r="P56" t="s">
        <v>16</v>
      </c>
      <c r="Q56" s="1" t="s">
        <v>68</v>
      </c>
      <c r="R56" t="s">
        <v>68</v>
      </c>
      <c r="S56" t="e">
        <f>IF(T56="","",INDEX('Backing 4'!U:U,MATCH(T56,'Backing 4'!T:T,0)))</f>
        <v>#N/A</v>
      </c>
      <c r="T56" t="str">
        <f t="shared" si="0"/>
        <v xml:space="preserve"> Junior Officer &amp; Sales &amp; Marketing</v>
      </c>
      <c r="U56" t="e">
        <f>IF(V56="","",INDEX('Backing 4'!Z:Z,MATCH(V56,'Backing 4'!Y:Y,0)))</f>
        <v>#N/A</v>
      </c>
      <c r="V56" t="str">
        <f t="shared" si="1"/>
        <v xml:space="preserve"> Junior Officer</v>
      </c>
      <c r="W56">
        <v>3</v>
      </c>
      <c r="X56" t="str">
        <f>IF(E56="Y","",IF(Y56="Y",INDEX('Backing 2'!B:B,MATCH(D56,'Backing 2'!C:C,0)),D56))</f>
        <v xml:space="preserve"> Junior Officer</v>
      </c>
      <c r="Y56" t="s">
        <v>81</v>
      </c>
      <c r="Z56">
        <v>3</v>
      </c>
      <c r="AA56" t="s">
        <v>69</v>
      </c>
      <c r="AB56">
        <v>25</v>
      </c>
      <c r="AC56" t="s">
        <v>19</v>
      </c>
      <c r="AD56" t="s">
        <v>19</v>
      </c>
      <c r="AE56" t="s">
        <v>19</v>
      </c>
      <c r="AF56" s="3">
        <v>42826</v>
      </c>
      <c r="AG56">
        <v>3</v>
      </c>
      <c r="AH56">
        <f t="shared" ca="1" si="2"/>
        <v>0.51000488597580318</v>
      </c>
    </row>
    <row r="57" spans="1:34">
      <c r="A57">
        <v>56</v>
      </c>
      <c r="B57" t="s">
        <v>8</v>
      </c>
      <c r="C57">
        <v>6</v>
      </c>
      <c r="D57" t="s">
        <v>134</v>
      </c>
      <c r="E57" t="s">
        <v>79</v>
      </c>
      <c r="F57">
        <v>0</v>
      </c>
      <c r="G57" t="s">
        <v>82</v>
      </c>
      <c r="H57" t="s">
        <v>82</v>
      </c>
      <c r="I57" s="2">
        <v>0.5</v>
      </c>
      <c r="J57" t="s">
        <v>82</v>
      </c>
      <c r="K57" t="s">
        <v>81</v>
      </c>
      <c r="L57" t="s">
        <v>16</v>
      </c>
      <c r="M57">
        <v>0</v>
      </c>
      <c r="N57">
        <v>6</v>
      </c>
      <c r="O57" t="s">
        <v>134</v>
      </c>
      <c r="P57" t="s">
        <v>16</v>
      </c>
      <c r="Q57" s="1" t="s">
        <v>68</v>
      </c>
      <c r="R57" t="s">
        <v>68</v>
      </c>
      <c r="S57" t="e">
        <f>IF(T57="","",INDEX('Backing 4'!U:U,MATCH(T57,'Backing 4'!T:T,0)))</f>
        <v>#N/A</v>
      </c>
      <c r="T57" t="str">
        <f t="shared" si="0"/>
        <v xml:space="preserve"> Junior Officer &amp; Sales &amp; Marketing</v>
      </c>
      <c r="U57" t="e">
        <f>IF(V57="","",INDEX('Backing 4'!Z:Z,MATCH(V57,'Backing 4'!Y:Y,0)))</f>
        <v>#N/A</v>
      </c>
      <c r="V57" t="str">
        <f t="shared" si="1"/>
        <v xml:space="preserve"> Junior Officer</v>
      </c>
      <c r="W57">
        <v>0</v>
      </c>
      <c r="X57" t="str">
        <f>IF(E57="Y","",IF(Y57="Y",INDEX('Backing 2'!B:B,MATCH(D57,'Backing 2'!C:C,0)),D57))</f>
        <v/>
      </c>
      <c r="Y57" t="s">
        <v>81</v>
      </c>
      <c r="Z57">
        <v>0</v>
      </c>
      <c r="AA57" t="s">
        <v>69</v>
      </c>
      <c r="AB57">
        <v>25</v>
      </c>
      <c r="AC57" t="s">
        <v>19</v>
      </c>
      <c r="AD57" t="s">
        <v>19</v>
      </c>
      <c r="AE57" t="s">
        <v>19</v>
      </c>
      <c r="AF57" s="3">
        <v>43922</v>
      </c>
      <c r="AG57">
        <v>0</v>
      </c>
      <c r="AH57">
        <f t="shared" ca="1" si="2"/>
        <v>0.99769254260866969</v>
      </c>
    </row>
    <row r="58" spans="1:34">
      <c r="A58">
        <v>57</v>
      </c>
      <c r="B58" t="s">
        <v>7</v>
      </c>
      <c r="C58">
        <v>4</v>
      </c>
      <c r="D58" t="s">
        <v>135</v>
      </c>
      <c r="E58" t="s">
        <v>81</v>
      </c>
      <c r="F58">
        <v>0</v>
      </c>
      <c r="G58" t="s">
        <v>82</v>
      </c>
      <c r="H58" t="s">
        <v>82</v>
      </c>
      <c r="I58" s="2">
        <v>0.5</v>
      </c>
      <c r="J58" t="s">
        <v>80</v>
      </c>
      <c r="K58" t="s">
        <v>79</v>
      </c>
      <c r="L58" t="s">
        <v>16</v>
      </c>
      <c r="M58" t="s">
        <v>83</v>
      </c>
      <c r="N58">
        <v>0</v>
      </c>
      <c r="O58" t="s">
        <v>142</v>
      </c>
      <c r="P58" t="s">
        <v>16</v>
      </c>
      <c r="Q58" s="1" t="s">
        <v>68</v>
      </c>
      <c r="R58" t="s">
        <v>68</v>
      </c>
      <c r="S58" t="e">
        <f>IF(T58="","",INDEX('Backing 4'!U:U,MATCH(T58,'Backing 4'!T:T,0)))</f>
        <v>#N/A</v>
      </c>
      <c r="T58" t="str">
        <f t="shared" si="0"/>
        <v xml:space="preserve"> Manager &amp; Sales &amp; Marketing</v>
      </c>
      <c r="U58" t="e">
        <f>IF(V58="","",INDEX('Backing 4'!Z:Z,MATCH(V58,'Backing 4'!Y:Y,0)))</f>
        <v>#N/A</v>
      </c>
      <c r="V58" t="str">
        <f t="shared" si="1"/>
        <v xml:space="preserve"> Manager</v>
      </c>
      <c r="W58">
        <v>3</v>
      </c>
      <c r="X58" t="str">
        <f>IF(E58="Y","",IF(Y58="Y",INDEX('Backing 2'!B:B,MATCH(D58,'Backing 2'!C:C,0)),D58))</f>
        <v xml:space="preserve"> Manager</v>
      </c>
      <c r="Y58" t="s">
        <v>81</v>
      </c>
      <c r="Z58">
        <v>3</v>
      </c>
      <c r="AA58" t="s">
        <v>70</v>
      </c>
      <c r="AB58">
        <v>38</v>
      </c>
      <c r="AC58" t="s">
        <v>36</v>
      </c>
      <c r="AD58" t="s">
        <v>74</v>
      </c>
      <c r="AE58" t="s">
        <v>74</v>
      </c>
      <c r="AF58" s="3">
        <v>42461</v>
      </c>
      <c r="AG58">
        <v>4</v>
      </c>
      <c r="AH58">
        <f t="shared" ca="1" si="2"/>
        <v>0.62180920162168007</v>
      </c>
    </row>
    <row r="59" spans="1:34">
      <c r="A59">
        <v>58</v>
      </c>
      <c r="B59" t="s">
        <v>8</v>
      </c>
      <c r="C59">
        <v>5</v>
      </c>
      <c r="D59" t="s">
        <v>138</v>
      </c>
      <c r="E59" t="s">
        <v>81</v>
      </c>
      <c r="F59">
        <v>2</v>
      </c>
      <c r="G59" t="s">
        <v>80</v>
      </c>
      <c r="H59" t="s">
        <v>80</v>
      </c>
      <c r="I59" s="2">
        <v>0.5</v>
      </c>
      <c r="J59" t="s">
        <v>82</v>
      </c>
      <c r="K59" t="s">
        <v>79</v>
      </c>
      <c r="L59" t="s">
        <v>16</v>
      </c>
      <c r="M59">
        <v>0</v>
      </c>
      <c r="N59">
        <v>4</v>
      </c>
      <c r="O59" t="s">
        <v>135</v>
      </c>
      <c r="P59" t="s">
        <v>16</v>
      </c>
      <c r="Q59" s="1" t="s">
        <v>68</v>
      </c>
      <c r="R59" t="s">
        <v>68</v>
      </c>
      <c r="S59" t="e">
        <f>IF(T59="","",INDEX('Backing 4'!U:U,MATCH(T59,'Backing 4'!T:T,0)))</f>
        <v>#N/A</v>
      </c>
      <c r="T59" t="str">
        <f t="shared" si="0"/>
        <v xml:space="preserve"> Senior Officer &amp; Sales &amp; Marketing</v>
      </c>
      <c r="U59" t="e">
        <f>IF(V59="","",INDEX('Backing 4'!Z:Z,MATCH(V59,'Backing 4'!Y:Y,0)))</f>
        <v>#N/A</v>
      </c>
      <c r="V59" t="str">
        <f t="shared" si="1"/>
        <v xml:space="preserve"> Senior Officer</v>
      </c>
      <c r="W59">
        <v>2</v>
      </c>
      <c r="X59" t="str">
        <f>IF(E59="Y","",IF(Y59="Y",INDEX('Backing 2'!B:B,MATCH(D59,'Backing 2'!C:C,0)),D59))</f>
        <v xml:space="preserve"> Senior Officer</v>
      </c>
      <c r="Y59" t="s">
        <v>81</v>
      </c>
      <c r="Z59">
        <v>3</v>
      </c>
      <c r="AA59" t="s">
        <v>70</v>
      </c>
      <c r="AB59">
        <v>35</v>
      </c>
      <c r="AC59" t="s">
        <v>19</v>
      </c>
      <c r="AD59" t="s">
        <v>19</v>
      </c>
      <c r="AE59" t="s">
        <v>19</v>
      </c>
      <c r="AF59" s="3">
        <v>43191</v>
      </c>
      <c r="AG59">
        <v>2</v>
      </c>
      <c r="AH59">
        <f t="shared" ca="1" si="2"/>
        <v>4.72867177454801E-2</v>
      </c>
    </row>
    <row r="60" spans="1:34">
      <c r="A60">
        <v>59</v>
      </c>
      <c r="B60" t="s">
        <v>8</v>
      </c>
      <c r="C60">
        <v>6</v>
      </c>
      <c r="D60" t="s">
        <v>134</v>
      </c>
      <c r="E60" t="s">
        <v>81</v>
      </c>
      <c r="F60">
        <v>2</v>
      </c>
      <c r="G60" t="s">
        <v>82</v>
      </c>
      <c r="H60" t="s">
        <v>80</v>
      </c>
      <c r="I60" s="2">
        <v>0.5</v>
      </c>
      <c r="J60" t="s">
        <v>82</v>
      </c>
      <c r="K60" t="s">
        <v>79</v>
      </c>
      <c r="L60" t="s">
        <v>14</v>
      </c>
      <c r="M60">
        <v>0</v>
      </c>
      <c r="N60">
        <v>6</v>
      </c>
      <c r="O60" t="s">
        <v>134</v>
      </c>
      <c r="P60" t="s">
        <v>14</v>
      </c>
      <c r="Q60" s="1" t="s">
        <v>68</v>
      </c>
      <c r="R60" t="s">
        <v>68</v>
      </c>
      <c r="S60" t="e">
        <f>IF(T60="","",INDEX('Backing 4'!U:U,MATCH(T60,'Backing 4'!T:T,0)))</f>
        <v>#N/A</v>
      </c>
      <c r="T60" t="str">
        <f t="shared" si="0"/>
        <v xml:space="preserve"> Junior Officer &amp; Operations</v>
      </c>
      <c r="U60" t="e">
        <f>IF(V60="","",INDEX('Backing 4'!Z:Z,MATCH(V60,'Backing 4'!Y:Y,0)))</f>
        <v>#N/A</v>
      </c>
      <c r="V60" t="str">
        <f t="shared" si="1"/>
        <v xml:space="preserve"> Junior Officer</v>
      </c>
      <c r="W60">
        <v>1</v>
      </c>
      <c r="X60" t="str">
        <f>IF(E60="Y","",IF(Y60="Y",INDEX('Backing 2'!B:B,MATCH(D60,'Backing 2'!C:C,0)),D60))</f>
        <v xml:space="preserve"> Junior Officer</v>
      </c>
      <c r="Y60" t="s">
        <v>81</v>
      </c>
      <c r="Z60">
        <v>0</v>
      </c>
      <c r="AA60" t="s">
        <v>69</v>
      </c>
      <c r="AB60">
        <v>22</v>
      </c>
      <c r="AC60" t="s">
        <v>19</v>
      </c>
      <c r="AD60" t="s">
        <v>19</v>
      </c>
      <c r="AE60" t="s">
        <v>19</v>
      </c>
      <c r="AF60" s="3">
        <v>43556</v>
      </c>
      <c r="AG60">
        <v>1</v>
      </c>
      <c r="AH60">
        <f t="shared" ca="1" si="2"/>
        <v>8.3622623253024164E-2</v>
      </c>
    </row>
    <row r="61" spans="1:34">
      <c r="A61">
        <v>60</v>
      </c>
      <c r="B61" t="s">
        <v>8</v>
      </c>
      <c r="C61">
        <v>6</v>
      </c>
      <c r="D61" s="4" t="s">
        <v>134</v>
      </c>
      <c r="E61" t="s">
        <v>81</v>
      </c>
      <c r="F61">
        <v>2</v>
      </c>
      <c r="G61" t="s">
        <v>82</v>
      </c>
      <c r="H61" t="s">
        <v>82</v>
      </c>
      <c r="I61" s="2">
        <v>0.5</v>
      </c>
      <c r="J61" t="s">
        <v>80</v>
      </c>
      <c r="K61" t="s">
        <v>79</v>
      </c>
      <c r="L61" t="s">
        <v>14</v>
      </c>
      <c r="M61" t="s">
        <v>83</v>
      </c>
      <c r="N61">
        <v>0</v>
      </c>
      <c r="O61" t="s">
        <v>142</v>
      </c>
      <c r="P61" t="s">
        <v>14</v>
      </c>
      <c r="Q61" s="1" t="s">
        <v>68</v>
      </c>
      <c r="R61" t="s">
        <v>68</v>
      </c>
      <c r="S61" t="e">
        <f>IF(T61="","",INDEX('Backing 4'!U:U,MATCH(T61,'Backing 4'!T:T,0)))</f>
        <v>#N/A</v>
      </c>
      <c r="T61" t="str">
        <f t="shared" si="0"/>
        <v xml:space="preserve"> Junior Officer &amp; Operations</v>
      </c>
      <c r="U61" t="e">
        <f>IF(V61="","",INDEX('Backing 4'!Z:Z,MATCH(V61,'Backing 4'!Y:Y,0)))</f>
        <v>#N/A</v>
      </c>
      <c r="V61" t="str">
        <f t="shared" si="1"/>
        <v xml:space="preserve"> Junior Officer</v>
      </c>
      <c r="W61">
        <v>3</v>
      </c>
      <c r="X61" t="str">
        <f>IF(E61="Y","",IF(Y61="Y",INDEX('Backing 2'!B:B,MATCH(D61,'Backing 2'!C:C,0)),D61))</f>
        <v xml:space="preserve"> Junior Officer</v>
      </c>
      <c r="Y61" t="s">
        <v>81</v>
      </c>
      <c r="Z61">
        <v>3</v>
      </c>
      <c r="AA61" t="s">
        <v>70</v>
      </c>
      <c r="AB61">
        <v>38</v>
      </c>
      <c r="AC61" t="s">
        <v>31</v>
      </c>
      <c r="AD61" t="s">
        <v>74</v>
      </c>
      <c r="AE61" t="s">
        <v>74</v>
      </c>
      <c r="AF61" s="3">
        <v>42826</v>
      </c>
      <c r="AG61">
        <v>3</v>
      </c>
      <c r="AH61">
        <f t="shared" ca="1" si="2"/>
        <v>0.7793331999874672</v>
      </c>
    </row>
    <row r="62" spans="1:34">
      <c r="A62">
        <v>61</v>
      </c>
      <c r="B62" t="s">
        <v>7</v>
      </c>
      <c r="C62">
        <v>6</v>
      </c>
      <c r="D62" t="s">
        <v>134</v>
      </c>
      <c r="E62" t="s">
        <v>81</v>
      </c>
      <c r="F62">
        <v>3</v>
      </c>
      <c r="G62" t="s">
        <v>82</v>
      </c>
      <c r="H62" t="s">
        <v>80</v>
      </c>
      <c r="I62" s="2">
        <v>0.5</v>
      </c>
      <c r="J62" t="s">
        <v>82</v>
      </c>
      <c r="K62" t="s">
        <v>79</v>
      </c>
      <c r="L62" t="s">
        <v>16</v>
      </c>
      <c r="M62">
        <v>0</v>
      </c>
      <c r="N62">
        <v>6</v>
      </c>
      <c r="O62" t="s">
        <v>134</v>
      </c>
      <c r="P62" t="s">
        <v>16</v>
      </c>
      <c r="Q62" s="1" t="s">
        <v>68</v>
      </c>
      <c r="R62" t="s">
        <v>68</v>
      </c>
      <c r="S62" t="e">
        <f>IF(T62="","",INDEX('Backing 4'!U:U,MATCH(T62,'Backing 4'!T:T,0)))</f>
        <v>#N/A</v>
      </c>
      <c r="T62" t="str">
        <f t="shared" si="0"/>
        <v xml:space="preserve"> Junior Officer &amp; Sales &amp; Marketing</v>
      </c>
      <c r="U62" t="e">
        <f>IF(V62="","",INDEX('Backing 4'!Z:Z,MATCH(V62,'Backing 4'!Y:Y,0)))</f>
        <v>#N/A</v>
      </c>
      <c r="V62" t="str">
        <f t="shared" si="1"/>
        <v xml:space="preserve"> Junior Officer</v>
      </c>
      <c r="W62">
        <v>1</v>
      </c>
      <c r="X62" t="str">
        <f>IF(E62="Y","",IF(Y62="Y",INDEX('Backing 2'!B:B,MATCH(D62,'Backing 2'!C:C,0)),D62))</f>
        <v xml:space="preserve"> Junior Officer</v>
      </c>
      <c r="Y62" t="s">
        <v>81</v>
      </c>
      <c r="Z62">
        <v>0</v>
      </c>
      <c r="AA62" t="s">
        <v>69</v>
      </c>
      <c r="AB62">
        <v>23</v>
      </c>
      <c r="AC62" t="s">
        <v>31</v>
      </c>
      <c r="AD62" t="s">
        <v>74</v>
      </c>
      <c r="AE62" t="s">
        <v>74</v>
      </c>
      <c r="AF62" s="3">
        <v>43556</v>
      </c>
      <c r="AG62">
        <v>1</v>
      </c>
      <c r="AH62">
        <f t="shared" ca="1" si="2"/>
        <v>0.25926354893757186</v>
      </c>
    </row>
    <row r="63" spans="1:34">
      <c r="A63">
        <v>62</v>
      </c>
      <c r="B63" t="s">
        <v>7</v>
      </c>
      <c r="C63">
        <v>5</v>
      </c>
      <c r="D63" s="4" t="s">
        <v>138</v>
      </c>
      <c r="E63" t="s">
        <v>81</v>
      </c>
      <c r="F63">
        <v>3</v>
      </c>
      <c r="G63" t="s">
        <v>82</v>
      </c>
      <c r="H63" t="s">
        <v>82</v>
      </c>
      <c r="I63" s="2">
        <v>0.5</v>
      </c>
      <c r="J63" t="s">
        <v>80</v>
      </c>
      <c r="K63" t="s">
        <v>79</v>
      </c>
      <c r="L63" t="s">
        <v>14</v>
      </c>
      <c r="M63" t="s">
        <v>83</v>
      </c>
      <c r="N63">
        <v>0</v>
      </c>
      <c r="O63" t="s">
        <v>142</v>
      </c>
      <c r="P63" t="s">
        <v>14</v>
      </c>
      <c r="Q63" s="1">
        <v>0.8</v>
      </c>
      <c r="R63" t="s">
        <v>67</v>
      </c>
      <c r="S63" t="e">
        <f>IF(T63="","",INDEX('Backing 4'!U:U,MATCH(T63,'Backing 4'!T:T,0)))</f>
        <v>#N/A</v>
      </c>
      <c r="T63" t="str">
        <f t="shared" si="0"/>
        <v xml:space="preserve"> Senior Officer &amp; Operations</v>
      </c>
      <c r="U63" t="e">
        <f>IF(V63="","",INDEX('Backing 4'!Z:Z,MATCH(V63,'Backing 4'!Y:Y,0)))</f>
        <v>#N/A</v>
      </c>
      <c r="V63" t="str">
        <f t="shared" si="1"/>
        <v xml:space="preserve"> Senior Officer</v>
      </c>
      <c r="W63">
        <v>2</v>
      </c>
      <c r="X63" t="str">
        <f>IF(E63="Y","",IF(Y63="Y",INDEX('Backing 2'!B:B,MATCH(D63,'Backing 2'!C:C,0)),D63))</f>
        <v xml:space="preserve"> Senior Officer</v>
      </c>
      <c r="Y63" t="s">
        <v>81</v>
      </c>
      <c r="Z63">
        <v>3</v>
      </c>
      <c r="AA63" t="s">
        <v>72</v>
      </c>
      <c r="AB63">
        <v>56</v>
      </c>
      <c r="AC63" t="s">
        <v>19</v>
      </c>
      <c r="AD63" t="s">
        <v>19</v>
      </c>
      <c r="AE63" t="s">
        <v>19</v>
      </c>
      <c r="AF63" s="3">
        <v>41000</v>
      </c>
      <c r="AG63">
        <v>8</v>
      </c>
      <c r="AH63">
        <f t="shared" ca="1" si="2"/>
        <v>0.60299972902623777</v>
      </c>
    </row>
    <row r="64" spans="1:34">
      <c r="A64">
        <v>63</v>
      </c>
      <c r="B64" t="s">
        <v>8</v>
      </c>
      <c r="C64">
        <v>6</v>
      </c>
      <c r="D64" t="s">
        <v>134</v>
      </c>
      <c r="E64" t="s">
        <v>81</v>
      </c>
      <c r="F64">
        <v>2</v>
      </c>
      <c r="G64" t="s">
        <v>82</v>
      </c>
      <c r="H64" t="s">
        <v>80</v>
      </c>
      <c r="I64" s="2">
        <v>0.5</v>
      </c>
      <c r="J64" t="s">
        <v>82</v>
      </c>
      <c r="K64" t="s">
        <v>79</v>
      </c>
      <c r="L64" t="s">
        <v>16</v>
      </c>
      <c r="M64">
        <v>0</v>
      </c>
      <c r="N64">
        <v>6</v>
      </c>
      <c r="O64" t="s">
        <v>134</v>
      </c>
      <c r="P64" t="s">
        <v>16</v>
      </c>
      <c r="Q64" s="1" t="s">
        <v>68</v>
      </c>
      <c r="R64" t="s">
        <v>68</v>
      </c>
      <c r="S64" t="e">
        <f>IF(T64="","",INDEX('Backing 4'!U:U,MATCH(T64,'Backing 4'!T:T,0)))</f>
        <v>#N/A</v>
      </c>
      <c r="T64" t="str">
        <f t="shared" si="0"/>
        <v xml:space="preserve"> Junior Officer &amp; Sales &amp; Marketing</v>
      </c>
      <c r="U64" t="e">
        <f>IF(V64="","",INDEX('Backing 4'!Z:Z,MATCH(V64,'Backing 4'!Y:Y,0)))</f>
        <v>#N/A</v>
      </c>
      <c r="V64" t="str">
        <f t="shared" si="1"/>
        <v xml:space="preserve"> Junior Officer</v>
      </c>
      <c r="W64">
        <v>1</v>
      </c>
      <c r="X64" t="str">
        <f>IF(E64="Y","",IF(Y64="Y",INDEX('Backing 2'!B:B,MATCH(D64,'Backing 2'!C:C,0)),D64))</f>
        <v xml:space="preserve"> Junior Officer</v>
      </c>
      <c r="Y64" t="s">
        <v>81</v>
      </c>
      <c r="Z64">
        <v>0</v>
      </c>
      <c r="AA64" t="s">
        <v>69</v>
      </c>
      <c r="AB64">
        <v>20</v>
      </c>
      <c r="AC64" t="s">
        <v>38</v>
      </c>
      <c r="AD64" t="s">
        <v>75</v>
      </c>
      <c r="AE64" t="s">
        <v>78</v>
      </c>
      <c r="AF64" s="3">
        <v>43556</v>
      </c>
      <c r="AG64">
        <v>1</v>
      </c>
      <c r="AH64">
        <f t="shared" ca="1" si="2"/>
        <v>0.29423500366127808</v>
      </c>
    </row>
    <row r="65" spans="1:34">
      <c r="A65">
        <v>64</v>
      </c>
      <c r="B65" t="s">
        <v>8</v>
      </c>
      <c r="C65">
        <v>2</v>
      </c>
      <c r="D65" t="s">
        <v>136</v>
      </c>
      <c r="E65" t="s">
        <v>81</v>
      </c>
      <c r="F65">
        <v>3</v>
      </c>
      <c r="G65" t="s">
        <v>82</v>
      </c>
      <c r="H65" t="s">
        <v>80</v>
      </c>
      <c r="I65" s="2">
        <v>0.5</v>
      </c>
      <c r="J65" t="s">
        <v>82</v>
      </c>
      <c r="K65" t="s">
        <v>79</v>
      </c>
      <c r="L65" t="s">
        <v>16</v>
      </c>
      <c r="M65">
        <v>0</v>
      </c>
      <c r="N65">
        <v>2</v>
      </c>
      <c r="O65" t="s">
        <v>136</v>
      </c>
      <c r="P65" t="s">
        <v>16</v>
      </c>
      <c r="Q65" s="1" t="s">
        <v>68</v>
      </c>
      <c r="R65" t="s">
        <v>68</v>
      </c>
      <c r="S65" t="e">
        <f>IF(T65="","",INDEX('Backing 4'!U:U,MATCH(T65,'Backing 4'!T:T,0)))</f>
        <v>#N/A</v>
      </c>
      <c r="T65" t="str">
        <f t="shared" si="0"/>
        <v xml:space="preserve"> Director &amp; Sales &amp; Marketing</v>
      </c>
      <c r="U65" t="s">
        <v>120</v>
      </c>
      <c r="V65" t="str">
        <f t="shared" si="1"/>
        <v xml:space="preserve"> Director</v>
      </c>
      <c r="W65">
        <v>3</v>
      </c>
      <c r="X65" t="str">
        <f>IF(E65="Y","",IF(Y65="Y",INDEX('Backing 2'!B:B,MATCH(D65,'Backing 2'!C:C,0)),D65))</f>
        <v xml:space="preserve"> Director</v>
      </c>
      <c r="Y65" t="s">
        <v>81</v>
      </c>
      <c r="Z65">
        <v>3</v>
      </c>
      <c r="AA65" t="s">
        <v>70</v>
      </c>
      <c r="AB65">
        <v>36</v>
      </c>
      <c r="AC65" t="s">
        <v>19</v>
      </c>
      <c r="AD65" t="s">
        <v>19</v>
      </c>
      <c r="AE65" t="s">
        <v>19</v>
      </c>
      <c r="AF65" s="3">
        <v>40634</v>
      </c>
      <c r="AG65">
        <v>9</v>
      </c>
      <c r="AH65">
        <f t="shared" ca="1" si="2"/>
        <v>0.64552927031012752</v>
      </c>
    </row>
    <row r="66" spans="1:34">
      <c r="A66">
        <v>65</v>
      </c>
      <c r="B66" t="s">
        <v>7</v>
      </c>
      <c r="C66">
        <v>2</v>
      </c>
      <c r="D66" t="s">
        <v>136</v>
      </c>
      <c r="E66" t="s">
        <v>81</v>
      </c>
      <c r="F66">
        <v>2</v>
      </c>
      <c r="G66" t="s">
        <v>82</v>
      </c>
      <c r="H66" t="s">
        <v>80</v>
      </c>
      <c r="I66" s="2">
        <v>0.5</v>
      </c>
      <c r="J66" t="s">
        <v>82</v>
      </c>
      <c r="K66" t="s">
        <v>79</v>
      </c>
      <c r="L66" t="s">
        <v>16</v>
      </c>
      <c r="M66">
        <v>0</v>
      </c>
      <c r="N66">
        <v>2</v>
      </c>
      <c r="O66" t="s">
        <v>136</v>
      </c>
      <c r="P66" t="s">
        <v>16</v>
      </c>
      <c r="Q66" s="1" t="s">
        <v>68</v>
      </c>
      <c r="R66" t="s">
        <v>68</v>
      </c>
      <c r="S66" t="e">
        <f>IF(T66="","",INDEX('Backing 4'!U:U,MATCH(T66,'Backing 4'!T:T,0)))</f>
        <v>#N/A</v>
      </c>
      <c r="T66" t="str">
        <f t="shared" ref="T66:T129" si="3">IF(O66="","",IF(D66="1 - Executive","",D66&amp;" &amp; "&amp;P66))</f>
        <v xml:space="preserve"> Director &amp; Sales &amp; Marketing</v>
      </c>
      <c r="U66" t="s">
        <v>120</v>
      </c>
      <c r="V66" t="str">
        <f t="shared" ref="V66:V129" si="4">IF(O66="","",IF(D66="1 - Executive","",D66))</f>
        <v xml:space="preserve"> Director</v>
      </c>
      <c r="W66">
        <v>3</v>
      </c>
      <c r="X66" t="str">
        <f>IF(E66="Y","",IF(Y66="Y",INDEX('Backing 2'!B:B,MATCH(D66,'Backing 2'!C:C,0)),D66))</f>
        <v xml:space="preserve"> Director</v>
      </c>
      <c r="Y66" t="s">
        <v>81</v>
      </c>
      <c r="Z66">
        <v>3</v>
      </c>
      <c r="AA66" t="s">
        <v>71</v>
      </c>
      <c r="AB66">
        <v>45</v>
      </c>
      <c r="AC66" t="s">
        <v>31</v>
      </c>
      <c r="AD66" t="s">
        <v>74</v>
      </c>
      <c r="AE66" t="s">
        <v>74</v>
      </c>
      <c r="AF66" s="3">
        <v>42461</v>
      </c>
      <c r="AG66">
        <v>4</v>
      </c>
      <c r="AH66">
        <f t="shared" ref="AH66:AH129" ca="1" si="5">RAND()</f>
        <v>0.52941592635470147</v>
      </c>
    </row>
    <row r="67" spans="1:34">
      <c r="A67">
        <v>66</v>
      </c>
      <c r="B67" t="s">
        <v>7</v>
      </c>
      <c r="C67">
        <v>3</v>
      </c>
      <c r="D67" t="s">
        <v>137</v>
      </c>
      <c r="E67" t="s">
        <v>81</v>
      </c>
      <c r="F67">
        <v>3</v>
      </c>
      <c r="G67" t="s">
        <v>82</v>
      </c>
      <c r="H67" t="s">
        <v>80</v>
      </c>
      <c r="I67" s="2">
        <v>0.5</v>
      </c>
      <c r="J67" t="s">
        <v>82</v>
      </c>
      <c r="K67" t="s">
        <v>79</v>
      </c>
      <c r="L67" t="s">
        <v>16</v>
      </c>
      <c r="M67">
        <v>0</v>
      </c>
      <c r="N67">
        <v>3</v>
      </c>
      <c r="O67" t="s">
        <v>137</v>
      </c>
      <c r="P67" t="s">
        <v>16</v>
      </c>
      <c r="Q67" s="1" t="s">
        <v>68</v>
      </c>
      <c r="R67" t="s">
        <v>68</v>
      </c>
      <c r="S67" t="e">
        <f>IF(T67="","",INDEX('Backing 4'!U:U,MATCH(T67,'Backing 4'!T:T,0)))</f>
        <v>#N/A</v>
      </c>
      <c r="T67" t="str">
        <f t="shared" si="3"/>
        <v xml:space="preserve"> Senior Manager &amp; Sales &amp; Marketing</v>
      </c>
      <c r="U67" t="e">
        <f>IF(V67="","",INDEX('Backing 4'!Z:Z,MATCH(V67,'Backing 4'!Y:Y,0)))</f>
        <v>#N/A</v>
      </c>
      <c r="V67" t="str">
        <f t="shared" si="4"/>
        <v xml:space="preserve"> Senior Manager</v>
      </c>
      <c r="W67">
        <v>1</v>
      </c>
      <c r="X67" t="e">
        <f>IF(E67="Y","",IF(Y67="Y",INDEX('Backing 2'!B:B,MATCH(D67,'Backing 2'!C:C,0)),D67))</f>
        <v>#N/A</v>
      </c>
      <c r="Y67" t="s">
        <v>79</v>
      </c>
      <c r="Z67">
        <v>2</v>
      </c>
      <c r="AA67" t="s">
        <v>70</v>
      </c>
      <c r="AB67">
        <v>39</v>
      </c>
      <c r="AC67" t="s">
        <v>30</v>
      </c>
      <c r="AD67" t="s">
        <v>74</v>
      </c>
      <c r="AE67" t="s">
        <v>74</v>
      </c>
      <c r="AF67" s="3">
        <v>42095</v>
      </c>
      <c r="AG67">
        <v>5</v>
      </c>
      <c r="AH67">
        <f t="shared" ca="1" si="5"/>
        <v>0.78583449339135691</v>
      </c>
    </row>
    <row r="68" spans="1:34">
      <c r="A68">
        <v>67</v>
      </c>
      <c r="B68" t="s">
        <v>8</v>
      </c>
      <c r="C68">
        <v>2</v>
      </c>
      <c r="D68" t="s">
        <v>136</v>
      </c>
      <c r="E68" t="s">
        <v>81</v>
      </c>
      <c r="F68">
        <v>2</v>
      </c>
      <c r="G68" t="s">
        <v>82</v>
      </c>
      <c r="H68" t="s">
        <v>80</v>
      </c>
      <c r="I68" s="2">
        <v>0.5</v>
      </c>
      <c r="J68" t="s">
        <v>82</v>
      </c>
      <c r="K68" t="s">
        <v>79</v>
      </c>
      <c r="L68" t="s">
        <v>14</v>
      </c>
      <c r="M68">
        <v>0</v>
      </c>
      <c r="N68">
        <v>2</v>
      </c>
      <c r="O68" t="s">
        <v>136</v>
      </c>
      <c r="P68" t="s">
        <v>14</v>
      </c>
      <c r="Q68" s="1" t="s">
        <v>68</v>
      </c>
      <c r="R68" t="s">
        <v>68</v>
      </c>
      <c r="S68" t="e">
        <f>IF(T68="","",INDEX('Backing 4'!U:U,MATCH(T68,'Backing 4'!T:T,0)))</f>
        <v>#N/A</v>
      </c>
      <c r="T68" t="str">
        <f t="shared" si="3"/>
        <v xml:space="preserve"> Director &amp; Operations</v>
      </c>
      <c r="U68" t="s">
        <v>120</v>
      </c>
      <c r="V68" t="str">
        <f t="shared" si="4"/>
        <v xml:space="preserve"> Director</v>
      </c>
      <c r="W68">
        <v>1</v>
      </c>
      <c r="X68" t="e">
        <f>IF(E68="Y","",IF(Y68="Y",INDEX('Backing 2'!B:B,MATCH(D68,'Backing 2'!C:C,0)),D68))</f>
        <v>#N/A</v>
      </c>
      <c r="Y68" t="s">
        <v>79</v>
      </c>
      <c r="Z68">
        <v>1</v>
      </c>
      <c r="AA68" t="s">
        <v>71</v>
      </c>
      <c r="AB68">
        <v>46</v>
      </c>
      <c r="AC68" t="s">
        <v>19</v>
      </c>
      <c r="AD68" t="s">
        <v>19</v>
      </c>
      <c r="AE68" t="s">
        <v>19</v>
      </c>
      <c r="AF68" s="3">
        <v>42461</v>
      </c>
      <c r="AG68">
        <v>4</v>
      </c>
      <c r="AH68">
        <f t="shared" ca="1" si="5"/>
        <v>2.5351544687059691E-2</v>
      </c>
    </row>
    <row r="69" spans="1:34">
      <c r="A69">
        <v>68</v>
      </c>
      <c r="B69" t="s">
        <v>8</v>
      </c>
      <c r="C69">
        <v>5</v>
      </c>
      <c r="D69" t="s">
        <v>138</v>
      </c>
      <c r="E69" t="s">
        <v>81</v>
      </c>
      <c r="F69">
        <v>3</v>
      </c>
      <c r="G69" t="s">
        <v>82</v>
      </c>
      <c r="H69" t="s">
        <v>80</v>
      </c>
      <c r="I69" s="2">
        <v>0.5</v>
      </c>
      <c r="J69" t="s">
        <v>82</v>
      </c>
      <c r="K69" t="s">
        <v>79</v>
      </c>
      <c r="L69" t="s">
        <v>16</v>
      </c>
      <c r="M69">
        <v>0</v>
      </c>
      <c r="N69">
        <v>5</v>
      </c>
      <c r="O69" t="s">
        <v>138</v>
      </c>
      <c r="P69" t="s">
        <v>16</v>
      </c>
      <c r="Q69" s="1" t="s">
        <v>68</v>
      </c>
      <c r="R69" t="s">
        <v>68</v>
      </c>
      <c r="S69" t="e">
        <f>IF(T69="","",INDEX('Backing 4'!U:U,MATCH(T69,'Backing 4'!T:T,0)))</f>
        <v>#N/A</v>
      </c>
      <c r="T69" t="str">
        <f t="shared" si="3"/>
        <v xml:space="preserve"> Senior Officer &amp; Sales &amp; Marketing</v>
      </c>
      <c r="U69" t="e">
        <f>IF(V69="","",INDEX('Backing 4'!Z:Z,MATCH(V69,'Backing 4'!Y:Y,0)))</f>
        <v>#N/A</v>
      </c>
      <c r="V69" t="str">
        <f t="shared" si="4"/>
        <v xml:space="preserve"> Senior Officer</v>
      </c>
      <c r="W69">
        <v>5</v>
      </c>
      <c r="X69" t="str">
        <f>IF(E69="Y","",IF(Y69="Y",INDEX('Backing 2'!B:B,MATCH(D69,'Backing 2'!C:C,0)),D69))</f>
        <v xml:space="preserve"> Senior Officer</v>
      </c>
      <c r="Y69" t="s">
        <v>81</v>
      </c>
      <c r="Z69">
        <v>3</v>
      </c>
      <c r="AA69" t="s">
        <v>69</v>
      </c>
      <c r="AB69">
        <v>25</v>
      </c>
      <c r="AC69" t="s">
        <v>19</v>
      </c>
      <c r="AD69" t="s">
        <v>19</v>
      </c>
      <c r="AE69" t="s">
        <v>19</v>
      </c>
      <c r="AF69" s="3">
        <v>41730</v>
      </c>
      <c r="AG69">
        <v>6</v>
      </c>
      <c r="AH69">
        <f t="shared" ca="1" si="5"/>
        <v>0.57437366352981767</v>
      </c>
    </row>
    <row r="70" spans="1:34">
      <c r="A70">
        <v>69</v>
      </c>
      <c r="B70" t="s">
        <v>7</v>
      </c>
      <c r="C70">
        <v>6</v>
      </c>
      <c r="D70" t="s">
        <v>134</v>
      </c>
      <c r="E70" t="s">
        <v>81</v>
      </c>
      <c r="F70">
        <v>2</v>
      </c>
      <c r="G70" t="s">
        <v>82</v>
      </c>
      <c r="H70" t="s">
        <v>80</v>
      </c>
      <c r="I70" s="2">
        <v>0.5</v>
      </c>
      <c r="J70" t="s">
        <v>82</v>
      </c>
      <c r="K70" t="s">
        <v>79</v>
      </c>
      <c r="L70" t="s">
        <v>14</v>
      </c>
      <c r="M70">
        <v>0</v>
      </c>
      <c r="N70">
        <v>6</v>
      </c>
      <c r="O70" t="s">
        <v>134</v>
      </c>
      <c r="P70" t="s">
        <v>14</v>
      </c>
      <c r="Q70" s="1" t="s">
        <v>68</v>
      </c>
      <c r="R70" t="s">
        <v>68</v>
      </c>
      <c r="S70" t="e">
        <f>IF(T70="","",INDEX('Backing 4'!U:U,MATCH(T70,'Backing 4'!T:T,0)))</f>
        <v>#N/A</v>
      </c>
      <c r="T70" t="str">
        <f t="shared" si="3"/>
        <v xml:space="preserve"> Junior Officer &amp; Operations</v>
      </c>
      <c r="U70" t="e">
        <f>IF(V70="","",INDEX('Backing 4'!Z:Z,MATCH(V70,'Backing 4'!Y:Y,0)))</f>
        <v>#N/A</v>
      </c>
      <c r="V70" t="str">
        <f t="shared" si="4"/>
        <v xml:space="preserve"> Junior Officer</v>
      </c>
      <c r="W70">
        <v>2</v>
      </c>
      <c r="X70" t="str">
        <f>IF(E70="Y","",IF(Y70="Y",INDEX('Backing 2'!B:B,MATCH(D70,'Backing 2'!C:C,0)),D70))</f>
        <v xml:space="preserve"> Junior Officer</v>
      </c>
      <c r="Y70" t="s">
        <v>81</v>
      </c>
      <c r="Z70">
        <v>2</v>
      </c>
      <c r="AA70" t="s">
        <v>69</v>
      </c>
      <c r="AB70">
        <v>26</v>
      </c>
      <c r="AC70" t="s">
        <v>36</v>
      </c>
      <c r="AD70" t="s">
        <v>74</v>
      </c>
      <c r="AE70" t="s">
        <v>74</v>
      </c>
      <c r="AF70" s="3">
        <v>43191</v>
      </c>
      <c r="AG70">
        <v>2</v>
      </c>
      <c r="AH70">
        <f t="shared" ca="1" si="5"/>
        <v>0.63103567250711201</v>
      </c>
    </row>
    <row r="71" spans="1:34">
      <c r="A71">
        <v>70</v>
      </c>
      <c r="B71" t="s">
        <v>8</v>
      </c>
      <c r="C71">
        <v>5</v>
      </c>
      <c r="D71" t="s">
        <v>138</v>
      </c>
      <c r="E71" t="s">
        <v>81</v>
      </c>
      <c r="F71">
        <v>2</v>
      </c>
      <c r="G71" t="s">
        <v>82</v>
      </c>
      <c r="H71" t="s">
        <v>80</v>
      </c>
      <c r="I71" s="2">
        <v>0.5</v>
      </c>
      <c r="J71" t="s">
        <v>82</v>
      </c>
      <c r="K71" t="s">
        <v>79</v>
      </c>
      <c r="L71" t="s">
        <v>16</v>
      </c>
      <c r="M71">
        <v>0</v>
      </c>
      <c r="N71">
        <v>5</v>
      </c>
      <c r="O71" t="s">
        <v>138</v>
      </c>
      <c r="P71" t="s">
        <v>16</v>
      </c>
      <c r="Q71" s="1" t="s">
        <v>68</v>
      </c>
      <c r="R71" t="s">
        <v>68</v>
      </c>
      <c r="S71" t="e">
        <f>IF(T71="","",INDEX('Backing 4'!U:U,MATCH(T71,'Backing 4'!T:T,0)))</f>
        <v>#N/A</v>
      </c>
      <c r="T71" t="str">
        <f t="shared" si="3"/>
        <v xml:space="preserve"> Senior Officer &amp; Sales &amp; Marketing</v>
      </c>
      <c r="U71" t="e">
        <f>IF(V71="","",INDEX('Backing 4'!Z:Z,MATCH(V71,'Backing 4'!Y:Y,0)))</f>
        <v>#N/A</v>
      </c>
      <c r="V71" t="str">
        <f t="shared" si="4"/>
        <v xml:space="preserve"> Senior Officer</v>
      </c>
      <c r="W71">
        <v>4</v>
      </c>
      <c r="X71" t="str">
        <f>IF(E71="Y","",IF(Y71="Y",INDEX('Backing 2'!B:B,MATCH(D71,'Backing 2'!C:C,0)),D71))</f>
        <v xml:space="preserve"> Senior Officer</v>
      </c>
      <c r="Y71" t="s">
        <v>81</v>
      </c>
      <c r="Z71">
        <v>3</v>
      </c>
      <c r="AA71" t="s">
        <v>69</v>
      </c>
      <c r="AB71">
        <v>29</v>
      </c>
      <c r="AC71" t="s">
        <v>19</v>
      </c>
      <c r="AD71" t="s">
        <v>19</v>
      </c>
      <c r="AE71" t="s">
        <v>19</v>
      </c>
      <c r="AF71" s="3">
        <v>42461</v>
      </c>
      <c r="AG71">
        <v>4</v>
      </c>
      <c r="AH71">
        <f t="shared" ca="1" si="5"/>
        <v>0.84166460497629469</v>
      </c>
    </row>
    <row r="72" spans="1:34">
      <c r="A72">
        <v>71</v>
      </c>
      <c r="B72" t="s">
        <v>7</v>
      </c>
      <c r="C72">
        <v>4</v>
      </c>
      <c r="D72" t="s">
        <v>135</v>
      </c>
      <c r="E72" t="s">
        <v>81</v>
      </c>
      <c r="F72">
        <v>3</v>
      </c>
      <c r="G72" t="s">
        <v>82</v>
      </c>
      <c r="H72" t="s">
        <v>80</v>
      </c>
      <c r="I72" s="2">
        <v>0.5</v>
      </c>
      <c r="J72" t="s">
        <v>82</v>
      </c>
      <c r="K72" t="s">
        <v>79</v>
      </c>
      <c r="L72" t="s">
        <v>14</v>
      </c>
      <c r="M72">
        <v>0</v>
      </c>
      <c r="N72">
        <v>4</v>
      </c>
      <c r="O72" t="s">
        <v>135</v>
      </c>
      <c r="P72" t="s">
        <v>14</v>
      </c>
      <c r="Q72" s="1" t="s">
        <v>68</v>
      </c>
      <c r="R72" t="s">
        <v>68</v>
      </c>
      <c r="S72" t="e">
        <f>IF(T72="","",INDEX('Backing 4'!U:U,MATCH(T72,'Backing 4'!T:T,0)))</f>
        <v>#N/A</v>
      </c>
      <c r="T72" t="str">
        <f t="shared" si="3"/>
        <v xml:space="preserve"> Manager &amp; Operations</v>
      </c>
      <c r="U72" t="e">
        <f>IF(V72="","",INDEX('Backing 4'!Z:Z,MATCH(V72,'Backing 4'!Y:Y,0)))</f>
        <v>#N/A</v>
      </c>
      <c r="V72" t="str">
        <f t="shared" si="4"/>
        <v xml:space="preserve"> Manager</v>
      </c>
      <c r="W72">
        <v>4</v>
      </c>
      <c r="X72" t="str">
        <f>IF(E72="Y","",IF(Y72="Y",INDEX('Backing 2'!B:B,MATCH(D72,'Backing 2'!C:C,0)),D72))</f>
        <v xml:space="preserve"> Manager</v>
      </c>
      <c r="Y72" t="s">
        <v>81</v>
      </c>
      <c r="Z72">
        <v>3</v>
      </c>
      <c r="AA72" t="s">
        <v>71</v>
      </c>
      <c r="AB72">
        <v>40</v>
      </c>
      <c r="AC72" t="s">
        <v>42</v>
      </c>
      <c r="AD72" t="s">
        <v>74</v>
      </c>
      <c r="AE72" t="s">
        <v>74</v>
      </c>
      <c r="AF72" s="3">
        <v>40634</v>
      </c>
      <c r="AG72">
        <v>9</v>
      </c>
      <c r="AH72">
        <f t="shared" ca="1" si="5"/>
        <v>0.10693680857469878</v>
      </c>
    </row>
    <row r="73" spans="1:34">
      <c r="A73">
        <v>72</v>
      </c>
      <c r="B73" t="s">
        <v>7</v>
      </c>
      <c r="C73">
        <v>5</v>
      </c>
      <c r="D73" t="s">
        <v>138</v>
      </c>
      <c r="E73" t="s">
        <v>81</v>
      </c>
      <c r="F73">
        <v>2</v>
      </c>
      <c r="G73" t="s">
        <v>82</v>
      </c>
      <c r="H73" t="s">
        <v>80</v>
      </c>
      <c r="I73" s="2">
        <v>0.5</v>
      </c>
      <c r="J73" t="s">
        <v>82</v>
      </c>
      <c r="K73" t="s">
        <v>79</v>
      </c>
      <c r="L73" t="s">
        <v>14</v>
      </c>
      <c r="M73">
        <v>0</v>
      </c>
      <c r="N73">
        <v>5</v>
      </c>
      <c r="O73" t="s">
        <v>138</v>
      </c>
      <c r="P73" t="s">
        <v>14</v>
      </c>
      <c r="Q73" s="1" t="s">
        <v>68</v>
      </c>
      <c r="R73" t="s">
        <v>68</v>
      </c>
      <c r="S73" t="e">
        <f>IF(T73="","",INDEX('Backing 4'!U:U,MATCH(T73,'Backing 4'!T:T,0)))</f>
        <v>#N/A</v>
      </c>
      <c r="T73" t="str">
        <f t="shared" si="3"/>
        <v xml:space="preserve"> Senior Officer &amp; Operations</v>
      </c>
      <c r="U73" t="e">
        <f>IF(V73="","",INDEX('Backing 4'!Z:Z,MATCH(V73,'Backing 4'!Y:Y,0)))</f>
        <v>#N/A</v>
      </c>
      <c r="V73" t="str">
        <f t="shared" si="4"/>
        <v xml:space="preserve"> Senior Officer</v>
      </c>
      <c r="W73">
        <v>4</v>
      </c>
      <c r="X73" t="str">
        <f>IF(E73="Y","",IF(Y73="Y",INDEX('Backing 2'!B:B,MATCH(D73,'Backing 2'!C:C,0)),D73))</f>
        <v xml:space="preserve"> Senior Officer</v>
      </c>
      <c r="Y73" t="s">
        <v>81</v>
      </c>
      <c r="Z73">
        <v>3</v>
      </c>
      <c r="AA73" t="s">
        <v>70</v>
      </c>
      <c r="AB73">
        <v>34</v>
      </c>
      <c r="AC73" t="s">
        <v>31</v>
      </c>
      <c r="AD73" t="s">
        <v>74</v>
      </c>
      <c r="AE73" t="s">
        <v>74</v>
      </c>
      <c r="AF73" s="3">
        <v>42461</v>
      </c>
      <c r="AG73">
        <v>4</v>
      </c>
      <c r="AH73">
        <f t="shared" ca="1" si="5"/>
        <v>0.82582114747613944</v>
      </c>
    </row>
    <row r="74" spans="1:34">
      <c r="A74">
        <v>73</v>
      </c>
      <c r="B74" t="s">
        <v>8</v>
      </c>
      <c r="C74">
        <v>2</v>
      </c>
      <c r="D74" t="s">
        <v>136</v>
      </c>
      <c r="E74" t="s">
        <v>79</v>
      </c>
      <c r="F74">
        <v>0</v>
      </c>
      <c r="G74" t="s">
        <v>82</v>
      </c>
      <c r="H74" t="s">
        <v>82</v>
      </c>
      <c r="I74" s="2">
        <v>0.5</v>
      </c>
      <c r="J74" t="s">
        <v>82</v>
      </c>
      <c r="K74" t="s">
        <v>81</v>
      </c>
      <c r="L74" t="s">
        <v>14</v>
      </c>
      <c r="M74">
        <v>0</v>
      </c>
      <c r="N74">
        <v>2</v>
      </c>
      <c r="O74" t="s">
        <v>136</v>
      </c>
      <c r="P74" t="s">
        <v>14</v>
      </c>
      <c r="Q74" s="1" t="s">
        <v>68</v>
      </c>
      <c r="R74" t="s">
        <v>68</v>
      </c>
      <c r="S74" t="e">
        <f>IF(T74="","",INDEX('Backing 4'!U:U,MATCH(T74,'Backing 4'!T:T,0)))</f>
        <v>#N/A</v>
      </c>
      <c r="T74" t="str">
        <f t="shared" si="3"/>
        <v xml:space="preserve"> Director &amp; Operations</v>
      </c>
      <c r="U74" t="s">
        <v>120</v>
      </c>
      <c r="V74" t="str">
        <f t="shared" si="4"/>
        <v xml:space="preserve"> Director</v>
      </c>
      <c r="W74">
        <v>0</v>
      </c>
      <c r="X74" t="str">
        <f>IF(E74="Y","",IF(Y74="Y",INDEX('Backing 2'!B:B,MATCH(D74,'Backing 2'!C:C,0)),D74))</f>
        <v/>
      </c>
      <c r="Y74" t="s">
        <v>81</v>
      </c>
      <c r="Z74">
        <v>0</v>
      </c>
      <c r="AA74" t="s">
        <v>72</v>
      </c>
      <c r="AB74">
        <v>51</v>
      </c>
      <c r="AC74" t="s">
        <v>19</v>
      </c>
      <c r="AD74" t="s">
        <v>19</v>
      </c>
      <c r="AE74" t="s">
        <v>19</v>
      </c>
      <c r="AF74" s="3">
        <v>43922</v>
      </c>
      <c r="AG74">
        <v>0</v>
      </c>
      <c r="AH74">
        <f t="shared" ca="1" si="5"/>
        <v>0.39572262512111489</v>
      </c>
    </row>
    <row r="75" spans="1:34">
      <c r="A75">
        <v>74</v>
      </c>
      <c r="B75" t="s">
        <v>7</v>
      </c>
      <c r="C75">
        <v>5</v>
      </c>
      <c r="D75" t="s">
        <v>138</v>
      </c>
      <c r="E75" t="s">
        <v>81</v>
      </c>
      <c r="F75">
        <v>0</v>
      </c>
      <c r="G75" t="s">
        <v>82</v>
      </c>
      <c r="H75" t="s">
        <v>82</v>
      </c>
      <c r="I75" s="2">
        <v>0.5</v>
      </c>
      <c r="J75" t="s">
        <v>80</v>
      </c>
      <c r="K75" t="s">
        <v>79</v>
      </c>
      <c r="L75" t="s">
        <v>16</v>
      </c>
      <c r="M75" t="s">
        <v>83</v>
      </c>
      <c r="N75">
        <v>0</v>
      </c>
      <c r="O75" t="s">
        <v>142</v>
      </c>
      <c r="P75" t="s">
        <v>16</v>
      </c>
      <c r="Q75" s="1">
        <v>0.8</v>
      </c>
      <c r="R75" t="s">
        <v>67</v>
      </c>
      <c r="S75" t="e">
        <f>IF(T75="","",INDEX('Backing 4'!U:U,MATCH(T75,'Backing 4'!T:T,0)))</f>
        <v>#N/A</v>
      </c>
      <c r="T75" t="str">
        <f t="shared" si="3"/>
        <v xml:space="preserve"> Senior Officer &amp; Sales &amp; Marketing</v>
      </c>
      <c r="U75" t="e">
        <f>IF(V75="","",INDEX('Backing 4'!Z:Z,MATCH(V75,'Backing 4'!Y:Y,0)))</f>
        <v>#N/A</v>
      </c>
      <c r="V75" t="str">
        <f t="shared" si="4"/>
        <v xml:space="preserve"> Senior Officer</v>
      </c>
      <c r="W75">
        <v>3</v>
      </c>
      <c r="X75" t="str">
        <f>IF(E75="Y","",IF(Y75="Y",INDEX('Backing 2'!B:B,MATCH(D75,'Backing 2'!C:C,0)),D75))</f>
        <v xml:space="preserve"> Senior Officer</v>
      </c>
      <c r="Y75" t="s">
        <v>81</v>
      </c>
      <c r="Z75">
        <v>3</v>
      </c>
      <c r="AA75" t="s">
        <v>71</v>
      </c>
      <c r="AB75">
        <v>41</v>
      </c>
      <c r="AC75" t="s">
        <v>19</v>
      </c>
      <c r="AD75" t="s">
        <v>19</v>
      </c>
      <c r="AE75" t="s">
        <v>19</v>
      </c>
      <c r="AF75" s="3">
        <v>42826</v>
      </c>
      <c r="AG75">
        <v>3</v>
      </c>
      <c r="AH75">
        <f t="shared" ca="1" si="5"/>
        <v>0.65584072013961137</v>
      </c>
    </row>
    <row r="76" spans="1:34">
      <c r="A76">
        <v>75</v>
      </c>
      <c r="B76" t="s">
        <v>7</v>
      </c>
      <c r="C76">
        <v>6</v>
      </c>
      <c r="D76" t="s">
        <v>134</v>
      </c>
      <c r="E76" t="s">
        <v>81</v>
      </c>
      <c r="F76">
        <v>3</v>
      </c>
      <c r="G76" t="s">
        <v>82</v>
      </c>
      <c r="H76" t="s">
        <v>80</v>
      </c>
      <c r="I76" s="2">
        <v>0.5</v>
      </c>
      <c r="J76" t="s">
        <v>82</v>
      </c>
      <c r="K76" t="s">
        <v>79</v>
      </c>
      <c r="L76" t="s">
        <v>16</v>
      </c>
      <c r="M76">
        <v>0</v>
      </c>
      <c r="N76">
        <v>6</v>
      </c>
      <c r="O76" t="s">
        <v>134</v>
      </c>
      <c r="P76" t="s">
        <v>16</v>
      </c>
      <c r="Q76" s="1" t="s">
        <v>68</v>
      </c>
      <c r="R76" t="s">
        <v>68</v>
      </c>
      <c r="S76" t="e">
        <f>IF(T76="","",INDEX('Backing 4'!U:U,MATCH(T76,'Backing 4'!T:T,0)))</f>
        <v>#N/A</v>
      </c>
      <c r="T76" t="str">
        <f t="shared" si="3"/>
        <v xml:space="preserve"> Junior Officer &amp; Sales &amp; Marketing</v>
      </c>
      <c r="U76" t="e">
        <f>IF(V76="","",INDEX('Backing 4'!Z:Z,MATCH(V76,'Backing 4'!Y:Y,0)))</f>
        <v>#N/A</v>
      </c>
      <c r="V76" t="str">
        <f t="shared" si="4"/>
        <v xml:space="preserve"> Junior Officer</v>
      </c>
      <c r="W76">
        <v>3</v>
      </c>
      <c r="X76" t="str">
        <f>IF(E76="Y","",IF(Y76="Y",INDEX('Backing 2'!B:B,MATCH(D76,'Backing 2'!C:C,0)),D76))</f>
        <v xml:space="preserve"> Junior Officer</v>
      </c>
      <c r="Y76" t="s">
        <v>81</v>
      </c>
      <c r="Z76">
        <v>2</v>
      </c>
      <c r="AA76" t="s">
        <v>69</v>
      </c>
      <c r="AB76">
        <v>24</v>
      </c>
      <c r="AC76" t="s">
        <v>19</v>
      </c>
      <c r="AD76" t="s">
        <v>19</v>
      </c>
      <c r="AE76" t="s">
        <v>19</v>
      </c>
      <c r="AF76" s="3">
        <v>42826</v>
      </c>
      <c r="AG76">
        <v>3</v>
      </c>
      <c r="AH76">
        <f t="shared" ca="1" si="5"/>
        <v>0.14943193454906001</v>
      </c>
    </row>
    <row r="77" spans="1:34">
      <c r="A77">
        <v>76</v>
      </c>
      <c r="B77" t="s">
        <v>7</v>
      </c>
      <c r="C77">
        <v>4</v>
      </c>
      <c r="D77" t="s">
        <v>135</v>
      </c>
      <c r="E77" t="s">
        <v>81</v>
      </c>
      <c r="F77">
        <v>2</v>
      </c>
      <c r="G77" t="s">
        <v>80</v>
      </c>
      <c r="H77" t="s">
        <v>80</v>
      </c>
      <c r="I77" s="2">
        <v>0.5</v>
      </c>
      <c r="J77" t="s">
        <v>82</v>
      </c>
      <c r="K77" t="s">
        <v>79</v>
      </c>
      <c r="L77" t="s">
        <v>15</v>
      </c>
      <c r="M77">
        <v>0</v>
      </c>
      <c r="N77">
        <v>3</v>
      </c>
      <c r="O77" t="s">
        <v>137</v>
      </c>
      <c r="P77" t="s">
        <v>15</v>
      </c>
      <c r="Q77" s="1" t="s">
        <v>68</v>
      </c>
      <c r="R77" t="s">
        <v>68</v>
      </c>
      <c r="S77" t="e">
        <f>IF(T77="","",INDEX('Backing 4'!U:U,MATCH(T77,'Backing 4'!T:T,0)))</f>
        <v>#N/A</v>
      </c>
      <c r="T77" t="str">
        <f t="shared" si="3"/>
        <v xml:space="preserve"> Manager &amp; Internal Services</v>
      </c>
      <c r="U77" t="e">
        <f>IF(V77="","",INDEX('Backing 4'!Z:Z,MATCH(V77,'Backing 4'!Y:Y,0)))</f>
        <v>#N/A</v>
      </c>
      <c r="V77" t="str">
        <f t="shared" si="4"/>
        <v xml:space="preserve"> Manager</v>
      </c>
      <c r="W77">
        <v>4</v>
      </c>
      <c r="X77" t="str">
        <f>IF(E77="Y","",IF(Y77="Y",INDEX('Backing 2'!B:B,MATCH(D77,'Backing 2'!C:C,0)),D77))</f>
        <v xml:space="preserve"> Manager</v>
      </c>
      <c r="Y77" t="s">
        <v>81</v>
      </c>
      <c r="Z77">
        <v>3</v>
      </c>
      <c r="AA77" t="s">
        <v>71</v>
      </c>
      <c r="AB77">
        <v>43</v>
      </c>
      <c r="AC77" t="s">
        <v>19</v>
      </c>
      <c r="AD77" t="s">
        <v>19</v>
      </c>
      <c r="AE77" t="s">
        <v>19</v>
      </c>
      <c r="AF77" s="3">
        <v>41000</v>
      </c>
      <c r="AG77">
        <v>8</v>
      </c>
      <c r="AH77">
        <f t="shared" ca="1" si="5"/>
        <v>0.23052092667385093</v>
      </c>
    </row>
    <row r="78" spans="1:34">
      <c r="A78">
        <v>77</v>
      </c>
      <c r="B78" t="s">
        <v>8</v>
      </c>
      <c r="C78">
        <v>3</v>
      </c>
      <c r="D78" t="s">
        <v>137</v>
      </c>
      <c r="E78" t="s">
        <v>81</v>
      </c>
      <c r="F78">
        <v>2</v>
      </c>
      <c r="G78" t="s">
        <v>82</v>
      </c>
      <c r="H78" t="s">
        <v>80</v>
      </c>
      <c r="I78" s="2">
        <v>0.5</v>
      </c>
      <c r="J78" t="s">
        <v>82</v>
      </c>
      <c r="K78" t="s">
        <v>79</v>
      </c>
      <c r="L78" t="s">
        <v>16</v>
      </c>
      <c r="M78">
        <v>0</v>
      </c>
      <c r="N78">
        <v>3</v>
      </c>
      <c r="O78" t="s">
        <v>137</v>
      </c>
      <c r="P78" t="s">
        <v>16</v>
      </c>
      <c r="Q78" s="1" t="s">
        <v>68</v>
      </c>
      <c r="R78" t="s">
        <v>68</v>
      </c>
      <c r="S78" t="e">
        <f>IF(T78="","",INDEX('Backing 4'!U:U,MATCH(T78,'Backing 4'!T:T,0)))</f>
        <v>#N/A</v>
      </c>
      <c r="T78" t="str">
        <f t="shared" si="3"/>
        <v xml:space="preserve"> Senior Manager &amp; Sales &amp; Marketing</v>
      </c>
      <c r="U78" t="e">
        <f>IF(V78="","",INDEX('Backing 4'!Z:Z,MATCH(V78,'Backing 4'!Y:Y,0)))</f>
        <v>#N/A</v>
      </c>
      <c r="V78" t="str">
        <f t="shared" si="4"/>
        <v xml:space="preserve"> Senior Manager</v>
      </c>
      <c r="W78">
        <v>2</v>
      </c>
      <c r="X78" t="str">
        <f>IF(E78="Y","",IF(Y78="Y",INDEX('Backing 2'!B:B,MATCH(D78,'Backing 2'!C:C,0)),D78))</f>
        <v xml:space="preserve"> Senior Manager</v>
      </c>
      <c r="Y78" t="s">
        <v>81</v>
      </c>
      <c r="Z78">
        <v>3</v>
      </c>
      <c r="AA78" t="s">
        <v>71</v>
      </c>
      <c r="AB78">
        <v>41</v>
      </c>
      <c r="AC78" t="s">
        <v>30</v>
      </c>
      <c r="AD78" t="s">
        <v>74</v>
      </c>
      <c r="AE78" t="s">
        <v>74</v>
      </c>
      <c r="AF78" s="3">
        <v>42461</v>
      </c>
      <c r="AG78">
        <v>4</v>
      </c>
      <c r="AH78">
        <f t="shared" ca="1" si="5"/>
        <v>0.22060864498800681</v>
      </c>
    </row>
    <row r="79" spans="1:34">
      <c r="A79">
        <v>78</v>
      </c>
      <c r="B79" t="s">
        <v>7</v>
      </c>
      <c r="C79">
        <v>5</v>
      </c>
      <c r="D79" t="s">
        <v>138</v>
      </c>
      <c r="E79" t="s">
        <v>81</v>
      </c>
      <c r="F79">
        <v>2</v>
      </c>
      <c r="G79" t="s">
        <v>82</v>
      </c>
      <c r="H79" t="s">
        <v>80</v>
      </c>
      <c r="I79" s="2">
        <v>0.5</v>
      </c>
      <c r="J79" t="s">
        <v>82</v>
      </c>
      <c r="K79" t="s">
        <v>79</v>
      </c>
      <c r="L79" t="s">
        <v>16</v>
      </c>
      <c r="M79">
        <v>0</v>
      </c>
      <c r="N79">
        <v>5</v>
      </c>
      <c r="O79" t="s">
        <v>138</v>
      </c>
      <c r="P79" t="s">
        <v>16</v>
      </c>
      <c r="Q79" s="1">
        <v>0.7</v>
      </c>
      <c r="R79" t="s">
        <v>67</v>
      </c>
      <c r="S79" t="e">
        <f>IF(T79="","",INDEX('Backing 4'!U:U,MATCH(T79,'Backing 4'!T:T,0)))</f>
        <v>#N/A</v>
      </c>
      <c r="T79" t="str">
        <f t="shared" si="3"/>
        <v xml:space="preserve"> Senior Officer &amp; Sales &amp; Marketing</v>
      </c>
      <c r="U79" t="e">
        <f>IF(V79="","",INDEX('Backing 4'!Z:Z,MATCH(V79,'Backing 4'!Y:Y,0)))</f>
        <v>#N/A</v>
      </c>
      <c r="V79" t="str">
        <f t="shared" si="4"/>
        <v xml:space="preserve"> Senior Officer</v>
      </c>
      <c r="W79">
        <v>3</v>
      </c>
      <c r="X79" t="str">
        <f>IF(E79="Y","",IF(Y79="Y",INDEX('Backing 2'!B:B,MATCH(D79,'Backing 2'!C:C,0)),D79))</f>
        <v xml:space="preserve"> Senior Officer</v>
      </c>
      <c r="Y79" t="s">
        <v>81</v>
      </c>
      <c r="Z79">
        <v>3</v>
      </c>
      <c r="AA79" t="s">
        <v>70</v>
      </c>
      <c r="AB79">
        <v>31</v>
      </c>
      <c r="AC79" t="s">
        <v>19</v>
      </c>
      <c r="AD79" t="s">
        <v>19</v>
      </c>
      <c r="AE79" t="s">
        <v>19</v>
      </c>
      <c r="AF79" s="3">
        <v>41000</v>
      </c>
      <c r="AG79">
        <v>8</v>
      </c>
      <c r="AH79">
        <f t="shared" ca="1" si="5"/>
        <v>0.10823773228951172</v>
      </c>
    </row>
    <row r="80" spans="1:34">
      <c r="A80">
        <v>79</v>
      </c>
      <c r="B80" t="s">
        <v>8</v>
      </c>
      <c r="C80">
        <v>6</v>
      </c>
      <c r="D80" t="s">
        <v>134</v>
      </c>
      <c r="E80" t="s">
        <v>79</v>
      </c>
      <c r="F80">
        <v>0</v>
      </c>
      <c r="G80" t="s">
        <v>82</v>
      </c>
      <c r="H80" t="s">
        <v>82</v>
      </c>
      <c r="I80" s="2">
        <v>0.5</v>
      </c>
      <c r="J80" t="s">
        <v>82</v>
      </c>
      <c r="K80" t="s">
        <v>81</v>
      </c>
      <c r="L80" t="s">
        <v>16</v>
      </c>
      <c r="M80">
        <v>0</v>
      </c>
      <c r="N80">
        <v>6</v>
      </c>
      <c r="O80" t="s">
        <v>134</v>
      </c>
      <c r="P80" t="s">
        <v>16</v>
      </c>
      <c r="Q80" s="1" t="s">
        <v>68</v>
      </c>
      <c r="R80" t="s">
        <v>68</v>
      </c>
      <c r="S80" t="e">
        <f>IF(T80="","",INDEX('Backing 4'!U:U,MATCH(T80,'Backing 4'!T:T,0)))</f>
        <v>#N/A</v>
      </c>
      <c r="T80" t="str">
        <f t="shared" si="3"/>
        <v xml:space="preserve"> Junior Officer &amp; Sales &amp; Marketing</v>
      </c>
      <c r="U80" t="e">
        <f>IF(V80="","",INDEX('Backing 4'!Z:Z,MATCH(V80,'Backing 4'!Y:Y,0)))</f>
        <v>#N/A</v>
      </c>
      <c r="V80" t="str">
        <f t="shared" si="4"/>
        <v xml:space="preserve"> Junior Officer</v>
      </c>
      <c r="W80">
        <v>0</v>
      </c>
      <c r="X80" t="str">
        <f>IF(E80="Y","",IF(Y80="Y",INDEX('Backing 2'!B:B,MATCH(D80,'Backing 2'!C:C,0)),D80))</f>
        <v/>
      </c>
      <c r="Y80" t="s">
        <v>81</v>
      </c>
      <c r="Z80">
        <v>0</v>
      </c>
      <c r="AA80" t="s">
        <v>69</v>
      </c>
      <c r="AB80">
        <v>26</v>
      </c>
      <c r="AC80" t="s">
        <v>30</v>
      </c>
      <c r="AD80" t="s">
        <v>74</v>
      </c>
      <c r="AE80" t="s">
        <v>74</v>
      </c>
      <c r="AF80" s="3">
        <v>43922</v>
      </c>
      <c r="AG80">
        <v>0</v>
      </c>
      <c r="AH80">
        <f t="shared" ca="1" si="5"/>
        <v>0.22862772207274529</v>
      </c>
    </row>
    <row r="81" spans="1:34">
      <c r="A81">
        <v>80</v>
      </c>
      <c r="B81" t="s">
        <v>7</v>
      </c>
      <c r="C81">
        <v>5</v>
      </c>
      <c r="D81" t="s">
        <v>138</v>
      </c>
      <c r="E81" t="s">
        <v>81</v>
      </c>
      <c r="F81">
        <v>3</v>
      </c>
      <c r="G81" t="s">
        <v>82</v>
      </c>
      <c r="H81" t="s">
        <v>80</v>
      </c>
      <c r="I81" s="2">
        <v>0.5</v>
      </c>
      <c r="J81" t="s">
        <v>82</v>
      </c>
      <c r="K81" t="s">
        <v>79</v>
      </c>
      <c r="L81" t="s">
        <v>14</v>
      </c>
      <c r="M81">
        <v>0</v>
      </c>
      <c r="N81">
        <v>5</v>
      </c>
      <c r="O81" t="s">
        <v>138</v>
      </c>
      <c r="P81" t="s">
        <v>14</v>
      </c>
      <c r="Q81" s="1">
        <v>0.5</v>
      </c>
      <c r="R81" t="s">
        <v>67</v>
      </c>
      <c r="S81" t="e">
        <f>IF(T81="","",INDEX('Backing 4'!U:U,MATCH(T81,'Backing 4'!T:T,0)))</f>
        <v>#N/A</v>
      </c>
      <c r="T81" t="str">
        <f t="shared" si="3"/>
        <v xml:space="preserve"> Senior Officer &amp; Operations</v>
      </c>
      <c r="U81" t="e">
        <f>IF(V81="","",INDEX('Backing 4'!Z:Z,MATCH(V81,'Backing 4'!Y:Y,0)))</f>
        <v>#N/A</v>
      </c>
      <c r="V81" t="str">
        <f t="shared" si="4"/>
        <v xml:space="preserve"> Senior Officer</v>
      </c>
      <c r="W81">
        <v>3</v>
      </c>
      <c r="X81" t="str">
        <f>IF(E81="Y","",IF(Y81="Y",INDEX('Backing 2'!B:B,MATCH(D81,'Backing 2'!C:C,0)),D81))</f>
        <v xml:space="preserve"> Senior Officer</v>
      </c>
      <c r="Y81" t="s">
        <v>81</v>
      </c>
      <c r="Z81">
        <v>2</v>
      </c>
      <c r="AA81" t="s">
        <v>69</v>
      </c>
      <c r="AB81">
        <v>28</v>
      </c>
      <c r="AC81" t="s">
        <v>31</v>
      </c>
      <c r="AD81" t="s">
        <v>74</v>
      </c>
      <c r="AE81" t="s">
        <v>74</v>
      </c>
      <c r="AF81" s="3">
        <v>41730</v>
      </c>
      <c r="AG81">
        <v>6</v>
      </c>
      <c r="AH81">
        <f t="shared" ca="1" si="5"/>
        <v>0.1557144614334981</v>
      </c>
    </row>
    <row r="82" spans="1:34">
      <c r="A82">
        <v>81</v>
      </c>
      <c r="B82" t="s">
        <v>8</v>
      </c>
      <c r="C82">
        <v>2</v>
      </c>
      <c r="D82" t="s">
        <v>136</v>
      </c>
      <c r="E82" t="s">
        <v>81</v>
      </c>
      <c r="F82">
        <v>3</v>
      </c>
      <c r="G82" t="s">
        <v>82</v>
      </c>
      <c r="H82" t="s">
        <v>80</v>
      </c>
      <c r="I82" s="2">
        <v>0.5</v>
      </c>
      <c r="J82" t="s">
        <v>82</v>
      </c>
      <c r="K82" t="s">
        <v>79</v>
      </c>
      <c r="L82" t="s">
        <v>14</v>
      </c>
      <c r="M82">
        <v>0</v>
      </c>
      <c r="N82">
        <v>2</v>
      </c>
      <c r="O82" t="s">
        <v>136</v>
      </c>
      <c r="P82" t="s">
        <v>14</v>
      </c>
      <c r="Q82" s="1" t="s">
        <v>68</v>
      </c>
      <c r="R82" t="s">
        <v>68</v>
      </c>
      <c r="S82" t="e">
        <f>IF(T82="","",INDEX('Backing 4'!U:U,MATCH(T82,'Backing 4'!T:T,0)))</f>
        <v>#N/A</v>
      </c>
      <c r="T82" t="str">
        <f t="shared" si="3"/>
        <v xml:space="preserve"> Director &amp; Operations</v>
      </c>
      <c r="U82" t="s">
        <v>120</v>
      </c>
      <c r="V82" t="str">
        <f t="shared" si="4"/>
        <v xml:space="preserve"> Director</v>
      </c>
      <c r="W82">
        <v>3</v>
      </c>
      <c r="X82" t="str">
        <f>IF(E82="Y","",IF(Y82="Y",INDEX('Backing 2'!B:B,MATCH(D82,'Backing 2'!C:C,0)),D82))</f>
        <v xml:space="preserve"> Director</v>
      </c>
      <c r="Y82" t="s">
        <v>81</v>
      </c>
      <c r="Z82">
        <v>2</v>
      </c>
      <c r="AA82" t="s">
        <v>71</v>
      </c>
      <c r="AB82">
        <v>42</v>
      </c>
      <c r="AC82" t="s">
        <v>19</v>
      </c>
      <c r="AD82" t="s">
        <v>19</v>
      </c>
      <c r="AE82" t="s">
        <v>19</v>
      </c>
      <c r="AF82" s="3">
        <v>41365</v>
      </c>
      <c r="AG82">
        <v>7</v>
      </c>
      <c r="AH82">
        <f t="shared" ca="1" si="5"/>
        <v>0.81599789946064016</v>
      </c>
    </row>
    <row r="83" spans="1:34">
      <c r="A83">
        <v>82</v>
      </c>
      <c r="B83" t="s">
        <v>8</v>
      </c>
      <c r="C83">
        <v>6</v>
      </c>
      <c r="D83" t="s">
        <v>134</v>
      </c>
      <c r="E83" t="s">
        <v>81</v>
      </c>
      <c r="F83">
        <v>1</v>
      </c>
      <c r="G83" t="s">
        <v>82</v>
      </c>
      <c r="H83" t="s">
        <v>80</v>
      </c>
      <c r="I83" s="2">
        <v>0.5</v>
      </c>
      <c r="J83" t="s">
        <v>82</v>
      </c>
      <c r="K83" t="s">
        <v>79</v>
      </c>
      <c r="L83" t="s">
        <v>15</v>
      </c>
      <c r="M83">
        <v>0</v>
      </c>
      <c r="N83">
        <v>6</v>
      </c>
      <c r="O83" t="s">
        <v>134</v>
      </c>
      <c r="P83" t="s">
        <v>15</v>
      </c>
      <c r="Q83" s="1" t="s">
        <v>68</v>
      </c>
      <c r="R83" t="s">
        <v>68</v>
      </c>
      <c r="S83" t="e">
        <f>IF(T83="","",INDEX('Backing 4'!U:U,MATCH(T83,'Backing 4'!T:T,0)))</f>
        <v>#N/A</v>
      </c>
      <c r="T83" t="str">
        <f t="shared" si="3"/>
        <v xml:space="preserve"> Junior Officer &amp; Internal Services</v>
      </c>
      <c r="U83" t="e">
        <f>IF(V83="","",INDEX('Backing 4'!Z:Z,MATCH(V83,'Backing 4'!Y:Y,0)))</f>
        <v>#N/A</v>
      </c>
      <c r="V83" t="str">
        <f t="shared" si="4"/>
        <v xml:space="preserve"> Junior Officer</v>
      </c>
      <c r="W83">
        <v>2</v>
      </c>
      <c r="X83" t="str">
        <f>IF(E83="Y","",IF(Y83="Y",INDEX('Backing 2'!B:B,MATCH(D83,'Backing 2'!C:C,0)),D83))</f>
        <v xml:space="preserve"> Junior Officer</v>
      </c>
      <c r="Y83" t="s">
        <v>81</v>
      </c>
      <c r="Z83">
        <v>3</v>
      </c>
      <c r="AA83" t="s">
        <v>69</v>
      </c>
      <c r="AB83">
        <v>25</v>
      </c>
      <c r="AC83" t="s">
        <v>19</v>
      </c>
      <c r="AD83" t="s">
        <v>19</v>
      </c>
      <c r="AE83" t="s">
        <v>19</v>
      </c>
      <c r="AF83" s="3">
        <v>43191</v>
      </c>
      <c r="AG83">
        <v>2</v>
      </c>
      <c r="AH83">
        <f t="shared" ca="1" si="5"/>
        <v>0.93367235848361463</v>
      </c>
    </row>
    <row r="84" spans="1:34">
      <c r="A84">
        <v>83</v>
      </c>
      <c r="B84" t="s">
        <v>7</v>
      </c>
      <c r="C84">
        <v>6</v>
      </c>
      <c r="D84" t="s">
        <v>134</v>
      </c>
      <c r="E84" t="s">
        <v>81</v>
      </c>
      <c r="F84">
        <v>4</v>
      </c>
      <c r="G84" t="s">
        <v>82</v>
      </c>
      <c r="H84" t="s">
        <v>80</v>
      </c>
      <c r="I84" s="2">
        <v>0.5</v>
      </c>
      <c r="J84" t="s">
        <v>82</v>
      </c>
      <c r="K84" t="s">
        <v>79</v>
      </c>
      <c r="L84" t="s">
        <v>14</v>
      </c>
      <c r="M84">
        <v>0</v>
      </c>
      <c r="N84">
        <v>6</v>
      </c>
      <c r="O84" t="s">
        <v>134</v>
      </c>
      <c r="P84" t="s">
        <v>14</v>
      </c>
      <c r="Q84" s="1" t="s">
        <v>68</v>
      </c>
      <c r="R84" t="s">
        <v>68</v>
      </c>
      <c r="S84" t="e">
        <f>IF(T84="","",INDEX('Backing 4'!U:U,MATCH(T84,'Backing 4'!T:T,0)))</f>
        <v>#N/A</v>
      </c>
      <c r="T84" t="str">
        <f t="shared" si="3"/>
        <v xml:space="preserve"> Junior Officer &amp; Operations</v>
      </c>
      <c r="U84" t="e">
        <f>IF(V84="","",INDEX('Backing 4'!Z:Z,MATCH(V84,'Backing 4'!Y:Y,0)))</f>
        <v>#N/A</v>
      </c>
      <c r="V84" t="str">
        <f t="shared" si="4"/>
        <v xml:space="preserve"> Junior Officer</v>
      </c>
      <c r="W84">
        <v>3</v>
      </c>
      <c r="X84" t="str">
        <f>IF(E84="Y","",IF(Y84="Y",INDEX('Backing 2'!B:B,MATCH(D84,'Backing 2'!C:C,0)),D84))</f>
        <v xml:space="preserve"> Junior Officer</v>
      </c>
      <c r="Y84" t="s">
        <v>81</v>
      </c>
      <c r="Z84">
        <v>3</v>
      </c>
      <c r="AA84" t="s">
        <v>69</v>
      </c>
      <c r="AB84">
        <v>23</v>
      </c>
      <c r="AC84" t="s">
        <v>19</v>
      </c>
      <c r="AD84" t="s">
        <v>19</v>
      </c>
      <c r="AE84" t="s">
        <v>19</v>
      </c>
      <c r="AF84" s="3">
        <v>42826</v>
      </c>
      <c r="AG84">
        <v>3</v>
      </c>
      <c r="AH84">
        <f t="shared" ca="1" si="5"/>
        <v>0.90586734960657667</v>
      </c>
    </row>
    <row r="85" spans="1:34">
      <c r="A85">
        <v>84</v>
      </c>
      <c r="B85" t="s">
        <v>7</v>
      </c>
      <c r="C85">
        <v>6</v>
      </c>
      <c r="D85" t="s">
        <v>134</v>
      </c>
      <c r="E85" t="s">
        <v>81</v>
      </c>
      <c r="F85">
        <v>3</v>
      </c>
      <c r="G85" t="s">
        <v>82</v>
      </c>
      <c r="H85" t="s">
        <v>80</v>
      </c>
      <c r="I85" s="2">
        <v>0.5</v>
      </c>
      <c r="J85" t="s">
        <v>82</v>
      </c>
      <c r="K85" t="s">
        <v>79</v>
      </c>
      <c r="L85" t="s">
        <v>14</v>
      </c>
      <c r="M85">
        <v>0</v>
      </c>
      <c r="N85">
        <v>6</v>
      </c>
      <c r="O85" t="s">
        <v>134</v>
      </c>
      <c r="P85" t="s">
        <v>14</v>
      </c>
      <c r="Q85" s="1" t="s">
        <v>68</v>
      </c>
      <c r="R85" t="s">
        <v>68</v>
      </c>
      <c r="S85" t="e">
        <f>IF(T85="","",INDEX('Backing 4'!U:U,MATCH(T85,'Backing 4'!T:T,0)))</f>
        <v>#N/A</v>
      </c>
      <c r="T85" t="str">
        <f t="shared" si="3"/>
        <v xml:space="preserve"> Junior Officer &amp; Operations</v>
      </c>
      <c r="U85" t="e">
        <f>IF(V85="","",INDEX('Backing 4'!Z:Z,MATCH(V85,'Backing 4'!Y:Y,0)))</f>
        <v>#N/A</v>
      </c>
      <c r="V85" t="str">
        <f t="shared" si="4"/>
        <v xml:space="preserve"> Junior Officer</v>
      </c>
      <c r="W85">
        <v>3</v>
      </c>
      <c r="X85" t="str">
        <f>IF(E85="Y","",IF(Y85="Y",INDEX('Backing 2'!B:B,MATCH(D85,'Backing 2'!C:C,0)),D85))</f>
        <v xml:space="preserve"> Junior Officer</v>
      </c>
      <c r="Y85" t="s">
        <v>81</v>
      </c>
      <c r="Z85">
        <v>3</v>
      </c>
      <c r="AA85" t="s">
        <v>69</v>
      </c>
      <c r="AB85">
        <v>26</v>
      </c>
      <c r="AC85" t="s">
        <v>31</v>
      </c>
      <c r="AD85" t="s">
        <v>74</v>
      </c>
      <c r="AE85" t="s">
        <v>74</v>
      </c>
      <c r="AF85" s="3">
        <v>42826</v>
      </c>
      <c r="AG85">
        <v>3</v>
      </c>
      <c r="AH85">
        <f t="shared" ca="1" si="5"/>
        <v>0.47321076265402395</v>
      </c>
    </row>
    <row r="86" spans="1:34">
      <c r="A86">
        <v>85</v>
      </c>
      <c r="B86" t="s">
        <v>8</v>
      </c>
      <c r="C86">
        <v>2</v>
      </c>
      <c r="D86" s="4" t="s">
        <v>136</v>
      </c>
      <c r="E86" t="s">
        <v>81</v>
      </c>
      <c r="F86">
        <v>4</v>
      </c>
      <c r="G86" t="s">
        <v>82</v>
      </c>
      <c r="H86" t="s">
        <v>82</v>
      </c>
      <c r="I86" s="2">
        <v>0.5</v>
      </c>
      <c r="J86" t="s">
        <v>80</v>
      </c>
      <c r="K86" t="s">
        <v>79</v>
      </c>
      <c r="L86" t="s">
        <v>15</v>
      </c>
      <c r="M86" t="s">
        <v>83</v>
      </c>
      <c r="N86">
        <v>0</v>
      </c>
      <c r="O86" t="s">
        <v>142</v>
      </c>
      <c r="P86" t="s">
        <v>15</v>
      </c>
      <c r="Q86" s="1" t="s">
        <v>68</v>
      </c>
      <c r="R86" t="s">
        <v>68</v>
      </c>
      <c r="S86" t="e">
        <f>IF(T86="","",INDEX('Backing 4'!U:U,MATCH(T86,'Backing 4'!T:T,0)))</f>
        <v>#N/A</v>
      </c>
      <c r="T86" t="str">
        <f t="shared" si="3"/>
        <v xml:space="preserve"> Director &amp; Internal Services</v>
      </c>
      <c r="U86" t="e">
        <f>IF(V86="","",INDEX('Backing 4'!Z:Z,MATCH(V86,'Backing 4'!Y:Y,0)))</f>
        <v>#N/A</v>
      </c>
      <c r="V86" t="str">
        <f t="shared" si="4"/>
        <v xml:space="preserve"> Director</v>
      </c>
      <c r="W86">
        <v>2</v>
      </c>
      <c r="X86" t="str">
        <f>IF(E86="Y","",IF(Y86="Y",INDEX('Backing 2'!B:B,MATCH(D86,'Backing 2'!C:C,0)),D86))</f>
        <v xml:space="preserve"> Director</v>
      </c>
      <c r="Y86" t="s">
        <v>81</v>
      </c>
      <c r="Z86">
        <v>4</v>
      </c>
      <c r="AA86" t="s">
        <v>70</v>
      </c>
      <c r="AB86">
        <v>33</v>
      </c>
      <c r="AC86" t="s">
        <v>31</v>
      </c>
      <c r="AD86" t="s">
        <v>74</v>
      </c>
      <c r="AE86" t="s">
        <v>74</v>
      </c>
      <c r="AF86" s="3">
        <v>42826</v>
      </c>
      <c r="AG86">
        <v>3</v>
      </c>
      <c r="AH86">
        <f t="shared" ca="1" si="5"/>
        <v>0.44933721677137783</v>
      </c>
    </row>
    <row r="87" spans="1:34">
      <c r="A87">
        <v>86</v>
      </c>
      <c r="B87" t="s">
        <v>7</v>
      </c>
      <c r="C87">
        <v>6</v>
      </c>
      <c r="D87" t="s">
        <v>134</v>
      </c>
      <c r="E87" t="s">
        <v>81</v>
      </c>
      <c r="F87">
        <v>2</v>
      </c>
      <c r="G87" t="s">
        <v>82</v>
      </c>
      <c r="H87" t="s">
        <v>80</v>
      </c>
      <c r="I87" s="2">
        <v>0.5</v>
      </c>
      <c r="J87" t="s">
        <v>82</v>
      </c>
      <c r="K87" t="s">
        <v>79</v>
      </c>
      <c r="L87" t="s">
        <v>16</v>
      </c>
      <c r="M87">
        <v>0</v>
      </c>
      <c r="N87">
        <v>6</v>
      </c>
      <c r="O87" t="s">
        <v>134</v>
      </c>
      <c r="P87" t="s">
        <v>16</v>
      </c>
      <c r="Q87" s="1" t="s">
        <v>68</v>
      </c>
      <c r="R87" t="s">
        <v>68</v>
      </c>
      <c r="S87" t="e">
        <f>IF(T87="","",INDEX('Backing 4'!U:U,MATCH(T87,'Backing 4'!T:T,0)))</f>
        <v>#N/A</v>
      </c>
      <c r="T87" t="str">
        <f t="shared" si="3"/>
        <v xml:space="preserve"> Junior Officer &amp; Sales &amp; Marketing</v>
      </c>
      <c r="U87" t="e">
        <f>IF(V87="","",INDEX('Backing 4'!Z:Z,MATCH(V87,'Backing 4'!Y:Y,0)))</f>
        <v>#N/A</v>
      </c>
      <c r="V87" t="str">
        <f t="shared" si="4"/>
        <v xml:space="preserve"> Junior Officer</v>
      </c>
      <c r="W87">
        <v>2</v>
      </c>
      <c r="X87" t="str">
        <f>IF(E87="Y","",IF(Y87="Y",INDEX('Backing 2'!B:B,MATCH(D87,'Backing 2'!C:C,0)),D87))</f>
        <v xml:space="preserve"> Junior Officer</v>
      </c>
      <c r="Y87" t="s">
        <v>81</v>
      </c>
      <c r="Z87">
        <v>3</v>
      </c>
      <c r="AA87" t="s">
        <v>69</v>
      </c>
      <c r="AB87">
        <v>25</v>
      </c>
      <c r="AC87" t="s">
        <v>19</v>
      </c>
      <c r="AD87" t="s">
        <v>19</v>
      </c>
      <c r="AE87" t="s">
        <v>19</v>
      </c>
      <c r="AF87" s="3">
        <v>43191</v>
      </c>
      <c r="AG87">
        <v>2</v>
      </c>
      <c r="AH87">
        <f t="shared" ca="1" si="5"/>
        <v>0.59744388615975663</v>
      </c>
    </row>
    <row r="88" spans="1:34">
      <c r="A88">
        <v>87</v>
      </c>
      <c r="B88" t="s">
        <v>8</v>
      </c>
      <c r="C88">
        <v>1</v>
      </c>
      <c r="D88" t="s">
        <v>139</v>
      </c>
      <c r="E88" t="s">
        <v>81</v>
      </c>
      <c r="F88">
        <v>0</v>
      </c>
      <c r="G88" t="s">
        <v>82</v>
      </c>
      <c r="H88" t="s">
        <v>82</v>
      </c>
      <c r="I88" s="2">
        <v>0.5</v>
      </c>
      <c r="J88" t="s">
        <v>82</v>
      </c>
      <c r="K88" t="s">
        <v>79</v>
      </c>
      <c r="L88" t="s">
        <v>15</v>
      </c>
      <c r="M88">
        <v>0</v>
      </c>
      <c r="N88">
        <v>1</v>
      </c>
      <c r="O88" t="s">
        <v>139</v>
      </c>
      <c r="P88" t="s">
        <v>15</v>
      </c>
      <c r="Q88" s="1" t="s">
        <v>68</v>
      </c>
      <c r="R88" t="s">
        <v>68</v>
      </c>
      <c r="S88" t="e">
        <f>IF(T88="","",INDEX('Backing 4'!U:U,MATCH(T88,'Backing 4'!T:T,0)))</f>
        <v>#N/A</v>
      </c>
      <c r="T88" t="str">
        <f t="shared" si="3"/>
        <v xml:space="preserve"> Executive &amp; Internal Services</v>
      </c>
      <c r="U88" t="e">
        <f>IF(V88="","",INDEX('Backing 4'!Z:Z,MATCH(V88,'Backing 4'!Y:Y,0)))</f>
        <v>#N/A</v>
      </c>
      <c r="V88" t="str">
        <f t="shared" si="4"/>
        <v xml:space="preserve"> Executive</v>
      </c>
      <c r="W88">
        <v>3</v>
      </c>
      <c r="X88" t="str">
        <f>IF(E88="Y","",IF(Y88="Y",INDEX('Backing 2'!B:B,MATCH(D88,'Backing 2'!C:C,0)),D88))</f>
        <v xml:space="preserve"> Executive</v>
      </c>
      <c r="Y88" t="s">
        <v>81</v>
      </c>
      <c r="Z88">
        <v>2</v>
      </c>
      <c r="AA88" t="s">
        <v>71</v>
      </c>
      <c r="AB88">
        <v>40</v>
      </c>
      <c r="AC88" t="s">
        <v>19</v>
      </c>
      <c r="AD88" t="s">
        <v>19</v>
      </c>
      <c r="AE88" t="s">
        <v>19</v>
      </c>
      <c r="AF88" s="3">
        <v>40634</v>
      </c>
      <c r="AG88">
        <v>9</v>
      </c>
      <c r="AH88">
        <f t="shared" ca="1" si="5"/>
        <v>0.60678332345334951</v>
      </c>
    </row>
    <row r="89" spans="1:34">
      <c r="A89">
        <v>88</v>
      </c>
      <c r="B89" t="s">
        <v>8</v>
      </c>
      <c r="C89">
        <v>6</v>
      </c>
      <c r="D89" t="s">
        <v>134</v>
      </c>
      <c r="E89" t="s">
        <v>81</v>
      </c>
      <c r="F89">
        <v>2</v>
      </c>
      <c r="G89" t="s">
        <v>80</v>
      </c>
      <c r="H89" t="s">
        <v>80</v>
      </c>
      <c r="I89" s="2">
        <v>0.5</v>
      </c>
      <c r="J89" t="s">
        <v>82</v>
      </c>
      <c r="K89" t="s">
        <v>79</v>
      </c>
      <c r="L89" t="s">
        <v>13</v>
      </c>
      <c r="M89">
        <v>0</v>
      </c>
      <c r="N89">
        <v>5</v>
      </c>
      <c r="O89" t="s">
        <v>138</v>
      </c>
      <c r="P89" t="s">
        <v>13</v>
      </c>
      <c r="Q89" s="1" t="s">
        <v>68</v>
      </c>
      <c r="R89" t="s">
        <v>68</v>
      </c>
      <c r="S89" t="e">
        <f>IF(T89="","",INDEX('Backing 4'!U:U,MATCH(T89,'Backing 4'!T:T,0)))</f>
        <v>#N/A</v>
      </c>
      <c r="T89" t="str">
        <f t="shared" si="3"/>
        <v xml:space="preserve"> Junior Officer &amp; HR</v>
      </c>
      <c r="U89" t="e">
        <f>IF(V89="","",INDEX('Backing 4'!Z:Z,MATCH(V89,'Backing 4'!Y:Y,0)))</f>
        <v>#N/A</v>
      </c>
      <c r="V89" t="str">
        <f t="shared" si="4"/>
        <v xml:space="preserve"> Junior Officer</v>
      </c>
      <c r="W89">
        <v>3</v>
      </c>
      <c r="X89" t="str">
        <f>IF(E89="Y","",IF(Y89="Y",INDEX('Backing 2'!B:B,MATCH(D89,'Backing 2'!C:C,0)),D89))</f>
        <v xml:space="preserve"> Junior Officer</v>
      </c>
      <c r="Y89" t="s">
        <v>81</v>
      </c>
      <c r="Z89">
        <v>3</v>
      </c>
      <c r="AA89" t="s">
        <v>69</v>
      </c>
      <c r="AB89">
        <v>24</v>
      </c>
      <c r="AC89" t="s">
        <v>19</v>
      </c>
      <c r="AD89" t="s">
        <v>19</v>
      </c>
      <c r="AE89" t="s">
        <v>19</v>
      </c>
      <c r="AF89" s="3">
        <v>42826</v>
      </c>
      <c r="AG89">
        <v>3</v>
      </c>
      <c r="AH89">
        <f t="shared" ca="1" si="5"/>
        <v>0.12128376985864164</v>
      </c>
    </row>
    <row r="90" spans="1:34">
      <c r="A90">
        <v>89</v>
      </c>
      <c r="B90" t="s">
        <v>8</v>
      </c>
      <c r="C90">
        <v>3</v>
      </c>
      <c r="D90" t="s">
        <v>137</v>
      </c>
      <c r="E90" t="s">
        <v>79</v>
      </c>
      <c r="F90">
        <v>0</v>
      </c>
      <c r="G90" t="s">
        <v>82</v>
      </c>
      <c r="H90" t="s">
        <v>82</v>
      </c>
      <c r="I90" s="2">
        <v>0.5</v>
      </c>
      <c r="J90" t="s">
        <v>82</v>
      </c>
      <c r="K90" t="s">
        <v>81</v>
      </c>
      <c r="L90" t="s">
        <v>15</v>
      </c>
      <c r="M90">
        <v>0</v>
      </c>
      <c r="N90">
        <v>3</v>
      </c>
      <c r="O90" t="s">
        <v>137</v>
      </c>
      <c r="P90" t="s">
        <v>15</v>
      </c>
      <c r="Q90" s="1" t="s">
        <v>68</v>
      </c>
      <c r="R90" t="s">
        <v>68</v>
      </c>
      <c r="S90" t="e">
        <f>IF(T90="","",INDEX('Backing 4'!U:U,MATCH(T90,'Backing 4'!T:T,0)))</f>
        <v>#N/A</v>
      </c>
      <c r="T90" t="str">
        <f t="shared" si="3"/>
        <v xml:space="preserve"> Senior Manager &amp; Internal Services</v>
      </c>
      <c r="U90" t="e">
        <f>IF(V90="","",INDEX('Backing 4'!Z:Z,MATCH(V90,'Backing 4'!Y:Y,0)))</f>
        <v>#N/A</v>
      </c>
      <c r="V90" t="str">
        <f t="shared" si="4"/>
        <v xml:space="preserve"> Senior Manager</v>
      </c>
      <c r="W90">
        <v>0</v>
      </c>
      <c r="X90" t="str">
        <f>IF(E90="Y","",IF(Y90="Y",INDEX('Backing 2'!B:B,MATCH(D90,'Backing 2'!C:C,0)),D90))</f>
        <v/>
      </c>
      <c r="Y90" t="s">
        <v>81</v>
      </c>
      <c r="Z90">
        <v>0</v>
      </c>
      <c r="AA90" t="s">
        <v>70</v>
      </c>
      <c r="AB90">
        <v>38</v>
      </c>
      <c r="AC90" t="s">
        <v>30</v>
      </c>
      <c r="AD90" t="s">
        <v>74</v>
      </c>
      <c r="AE90" t="s">
        <v>74</v>
      </c>
      <c r="AF90" s="3">
        <v>43922</v>
      </c>
      <c r="AG90">
        <v>0</v>
      </c>
      <c r="AH90">
        <f t="shared" ca="1" si="5"/>
        <v>0.91735312492104149</v>
      </c>
    </row>
    <row r="91" spans="1:34">
      <c r="A91">
        <v>90</v>
      </c>
      <c r="B91" t="s">
        <v>8</v>
      </c>
      <c r="C91">
        <v>5</v>
      </c>
      <c r="D91" t="s">
        <v>138</v>
      </c>
      <c r="E91" t="s">
        <v>81</v>
      </c>
      <c r="F91">
        <v>2</v>
      </c>
      <c r="G91" t="s">
        <v>82</v>
      </c>
      <c r="H91" t="s">
        <v>80</v>
      </c>
      <c r="I91" s="2">
        <v>0.5</v>
      </c>
      <c r="J91" t="s">
        <v>82</v>
      </c>
      <c r="K91" t="s">
        <v>79</v>
      </c>
      <c r="L91" t="s">
        <v>16</v>
      </c>
      <c r="M91">
        <v>0</v>
      </c>
      <c r="N91">
        <v>5</v>
      </c>
      <c r="O91" t="s">
        <v>138</v>
      </c>
      <c r="P91" t="s">
        <v>16</v>
      </c>
      <c r="Q91" s="1" t="s">
        <v>68</v>
      </c>
      <c r="R91" t="s">
        <v>68</v>
      </c>
      <c r="S91" t="e">
        <f>IF(T91="","",INDEX('Backing 4'!U:U,MATCH(T91,'Backing 4'!T:T,0)))</f>
        <v>#N/A</v>
      </c>
      <c r="T91" t="str">
        <f t="shared" si="3"/>
        <v xml:space="preserve"> Senior Officer &amp; Sales &amp; Marketing</v>
      </c>
      <c r="U91" t="e">
        <f>IF(V91="","",INDEX('Backing 4'!Z:Z,MATCH(V91,'Backing 4'!Y:Y,0)))</f>
        <v>#N/A</v>
      </c>
      <c r="V91" t="str">
        <f t="shared" si="4"/>
        <v xml:space="preserve"> Senior Officer</v>
      </c>
      <c r="W91">
        <v>1</v>
      </c>
      <c r="X91" t="e">
        <f>IF(E91="Y","",IF(Y91="Y",INDEX('Backing 2'!B:B,MATCH(D91,'Backing 2'!C:C,0)),D91))</f>
        <v>#N/A</v>
      </c>
      <c r="Y91" t="s">
        <v>79</v>
      </c>
      <c r="Z91">
        <v>1</v>
      </c>
      <c r="AA91" t="s">
        <v>69</v>
      </c>
      <c r="AB91">
        <v>29</v>
      </c>
      <c r="AC91" t="s">
        <v>19</v>
      </c>
      <c r="AD91" t="s">
        <v>19</v>
      </c>
      <c r="AE91" t="s">
        <v>19</v>
      </c>
      <c r="AF91" s="3">
        <v>40634</v>
      </c>
      <c r="AG91">
        <v>9</v>
      </c>
      <c r="AH91">
        <f t="shared" ca="1" si="5"/>
        <v>0.99797293827374711</v>
      </c>
    </row>
    <row r="92" spans="1:34">
      <c r="A92">
        <v>91</v>
      </c>
      <c r="B92" t="s">
        <v>8</v>
      </c>
      <c r="C92">
        <v>5</v>
      </c>
      <c r="D92" t="s">
        <v>138</v>
      </c>
      <c r="E92" t="s">
        <v>81</v>
      </c>
      <c r="F92">
        <v>2</v>
      </c>
      <c r="G92" t="s">
        <v>80</v>
      </c>
      <c r="H92" t="s">
        <v>80</v>
      </c>
      <c r="I92" s="2">
        <v>0.5</v>
      </c>
      <c r="J92" t="s">
        <v>82</v>
      </c>
      <c r="K92" t="s">
        <v>79</v>
      </c>
      <c r="L92" t="s">
        <v>14</v>
      </c>
      <c r="M92">
        <v>0</v>
      </c>
      <c r="N92">
        <v>4</v>
      </c>
      <c r="O92" t="s">
        <v>135</v>
      </c>
      <c r="P92" t="s">
        <v>14</v>
      </c>
      <c r="Q92" s="1" t="s">
        <v>68</v>
      </c>
      <c r="R92" t="s">
        <v>68</v>
      </c>
      <c r="S92" t="e">
        <f>IF(T92="","",INDEX('Backing 4'!U:U,MATCH(T92,'Backing 4'!T:T,0)))</f>
        <v>#N/A</v>
      </c>
      <c r="T92" t="str">
        <f t="shared" si="3"/>
        <v xml:space="preserve"> Senior Officer &amp; Operations</v>
      </c>
      <c r="U92" t="e">
        <f>IF(V92="","",INDEX('Backing 4'!Z:Z,MATCH(V92,'Backing 4'!Y:Y,0)))</f>
        <v>#N/A</v>
      </c>
      <c r="V92" t="str">
        <f t="shared" si="4"/>
        <v xml:space="preserve"> Senior Officer</v>
      </c>
      <c r="W92">
        <v>1</v>
      </c>
      <c r="X92" t="e">
        <f>IF(E92="Y","",IF(Y92="Y",INDEX('Backing 2'!B:B,MATCH(D92,'Backing 2'!C:C,0)),D92))</f>
        <v>#N/A</v>
      </c>
      <c r="Y92" t="s">
        <v>79</v>
      </c>
      <c r="Z92">
        <v>1</v>
      </c>
      <c r="AA92" t="s">
        <v>70</v>
      </c>
      <c r="AB92">
        <v>31</v>
      </c>
      <c r="AC92" t="s">
        <v>30</v>
      </c>
      <c r="AD92" t="s">
        <v>74</v>
      </c>
      <c r="AE92" t="s">
        <v>74</v>
      </c>
      <c r="AF92" s="3">
        <v>42095</v>
      </c>
      <c r="AG92">
        <v>5</v>
      </c>
      <c r="AH92">
        <f t="shared" ca="1" si="5"/>
        <v>1.0084302283965396E-2</v>
      </c>
    </row>
    <row r="93" spans="1:34">
      <c r="A93">
        <v>92</v>
      </c>
      <c r="B93" t="s">
        <v>8</v>
      </c>
      <c r="C93">
        <v>6</v>
      </c>
      <c r="D93" t="s">
        <v>134</v>
      </c>
      <c r="E93" t="s">
        <v>81</v>
      </c>
      <c r="F93">
        <v>3</v>
      </c>
      <c r="G93" t="s">
        <v>82</v>
      </c>
      <c r="H93" t="s">
        <v>80</v>
      </c>
      <c r="I93" s="2">
        <v>0.5</v>
      </c>
      <c r="J93" t="s">
        <v>82</v>
      </c>
      <c r="K93" t="s">
        <v>79</v>
      </c>
      <c r="L93" t="s">
        <v>14</v>
      </c>
      <c r="M93">
        <v>0</v>
      </c>
      <c r="N93">
        <v>6</v>
      </c>
      <c r="O93" t="s">
        <v>134</v>
      </c>
      <c r="P93" t="s">
        <v>14</v>
      </c>
      <c r="Q93" s="1" t="s">
        <v>68</v>
      </c>
      <c r="R93" t="s">
        <v>68</v>
      </c>
      <c r="S93" t="e">
        <f>IF(T93="","",INDEX('Backing 4'!U:U,MATCH(T93,'Backing 4'!T:T,0)))</f>
        <v>#N/A</v>
      </c>
      <c r="T93" t="str">
        <f t="shared" si="3"/>
        <v xml:space="preserve"> Junior Officer &amp; Operations</v>
      </c>
      <c r="U93" t="e">
        <f>IF(V93="","",INDEX('Backing 4'!Z:Z,MATCH(V93,'Backing 4'!Y:Y,0)))</f>
        <v>#N/A</v>
      </c>
      <c r="V93" t="str">
        <f t="shared" si="4"/>
        <v xml:space="preserve"> Junior Officer</v>
      </c>
      <c r="W93">
        <v>4</v>
      </c>
      <c r="X93" t="str">
        <f>IF(E93="Y","",IF(Y93="Y",INDEX('Backing 2'!B:B,MATCH(D93,'Backing 2'!C:C,0)),D93))</f>
        <v xml:space="preserve"> Junior Officer</v>
      </c>
      <c r="Y93" t="s">
        <v>81</v>
      </c>
      <c r="Z93">
        <v>3</v>
      </c>
      <c r="AA93" t="s">
        <v>69</v>
      </c>
      <c r="AB93">
        <v>26</v>
      </c>
      <c r="AC93" t="s">
        <v>19</v>
      </c>
      <c r="AD93" t="s">
        <v>19</v>
      </c>
      <c r="AE93" t="s">
        <v>19</v>
      </c>
      <c r="AF93" s="3">
        <v>42461</v>
      </c>
      <c r="AG93">
        <v>4</v>
      </c>
      <c r="AH93">
        <f t="shared" ca="1" si="5"/>
        <v>0.94266834575672387</v>
      </c>
    </row>
    <row r="94" spans="1:34">
      <c r="A94">
        <v>93</v>
      </c>
      <c r="B94" t="s">
        <v>8</v>
      </c>
      <c r="C94">
        <v>2</v>
      </c>
      <c r="D94" t="s">
        <v>136</v>
      </c>
      <c r="E94" t="s">
        <v>81</v>
      </c>
      <c r="F94">
        <v>3</v>
      </c>
      <c r="G94" t="s">
        <v>82</v>
      </c>
      <c r="H94" t="s">
        <v>80</v>
      </c>
      <c r="I94" s="2">
        <v>0.5</v>
      </c>
      <c r="J94" t="s">
        <v>82</v>
      </c>
      <c r="K94" t="s">
        <v>79</v>
      </c>
      <c r="L94" t="s">
        <v>16</v>
      </c>
      <c r="M94">
        <v>0</v>
      </c>
      <c r="N94">
        <v>2</v>
      </c>
      <c r="O94" t="s">
        <v>136</v>
      </c>
      <c r="P94" t="s">
        <v>16</v>
      </c>
      <c r="Q94" s="1" t="s">
        <v>68</v>
      </c>
      <c r="R94" t="s">
        <v>68</v>
      </c>
      <c r="S94" t="e">
        <f>IF(T94="","",INDEX('Backing 4'!U:U,MATCH(T94,'Backing 4'!T:T,0)))</f>
        <v>#N/A</v>
      </c>
      <c r="T94" t="str">
        <f t="shared" si="3"/>
        <v xml:space="preserve"> Director &amp; Sales &amp; Marketing</v>
      </c>
      <c r="U94" t="s">
        <v>120</v>
      </c>
      <c r="V94" t="str">
        <f t="shared" si="4"/>
        <v xml:space="preserve"> Director</v>
      </c>
      <c r="W94">
        <v>3</v>
      </c>
      <c r="X94" t="str">
        <f>IF(E94="Y","",IF(Y94="Y",INDEX('Backing 2'!B:B,MATCH(D94,'Backing 2'!C:C,0)),D94))</f>
        <v xml:space="preserve"> Director</v>
      </c>
      <c r="Y94" t="s">
        <v>81</v>
      </c>
      <c r="Z94">
        <v>3</v>
      </c>
      <c r="AA94" t="s">
        <v>70</v>
      </c>
      <c r="AB94">
        <v>39</v>
      </c>
      <c r="AC94" t="s">
        <v>19</v>
      </c>
      <c r="AD94" t="s">
        <v>19</v>
      </c>
      <c r="AE94" t="s">
        <v>19</v>
      </c>
      <c r="AF94" s="3">
        <v>41730</v>
      </c>
      <c r="AG94">
        <v>6</v>
      </c>
      <c r="AH94">
        <f t="shared" ca="1" si="5"/>
        <v>0.14743722266886394</v>
      </c>
    </row>
    <row r="95" spans="1:34">
      <c r="A95">
        <v>94</v>
      </c>
      <c r="B95" t="s">
        <v>8</v>
      </c>
      <c r="C95">
        <v>4</v>
      </c>
      <c r="D95" s="4" t="s">
        <v>135</v>
      </c>
      <c r="E95" t="s">
        <v>81</v>
      </c>
      <c r="F95">
        <v>2</v>
      </c>
      <c r="G95" t="s">
        <v>82</v>
      </c>
      <c r="H95" t="s">
        <v>82</v>
      </c>
      <c r="I95" s="2">
        <v>0.5</v>
      </c>
      <c r="J95" t="s">
        <v>80</v>
      </c>
      <c r="K95" t="s">
        <v>79</v>
      </c>
      <c r="L95" t="s">
        <v>14</v>
      </c>
      <c r="M95" t="s">
        <v>83</v>
      </c>
      <c r="N95">
        <v>0</v>
      </c>
      <c r="O95" t="s">
        <v>142</v>
      </c>
      <c r="P95" t="s">
        <v>14</v>
      </c>
      <c r="Q95" s="1" t="s">
        <v>68</v>
      </c>
      <c r="R95" t="s">
        <v>68</v>
      </c>
      <c r="S95" t="e">
        <f>IF(T95="","",INDEX('Backing 4'!U:U,MATCH(T95,'Backing 4'!T:T,0)))</f>
        <v>#N/A</v>
      </c>
      <c r="T95" t="str">
        <f t="shared" si="3"/>
        <v xml:space="preserve"> Manager &amp; Operations</v>
      </c>
      <c r="U95" t="e">
        <f>IF(V95="","",INDEX('Backing 4'!Z:Z,MATCH(V95,'Backing 4'!Y:Y,0)))</f>
        <v>#N/A</v>
      </c>
      <c r="V95" t="str">
        <f t="shared" si="4"/>
        <v xml:space="preserve"> Manager</v>
      </c>
      <c r="W95">
        <v>2</v>
      </c>
      <c r="X95" t="str">
        <f>IF(E95="Y","",IF(Y95="Y",INDEX('Backing 2'!B:B,MATCH(D95,'Backing 2'!C:C,0)),D95))</f>
        <v xml:space="preserve"> Manager</v>
      </c>
      <c r="Y95" t="s">
        <v>81</v>
      </c>
      <c r="Z95">
        <v>3</v>
      </c>
      <c r="AA95" t="s">
        <v>71</v>
      </c>
      <c r="AB95">
        <v>44</v>
      </c>
      <c r="AC95" t="s">
        <v>19</v>
      </c>
      <c r="AD95" t="s">
        <v>19</v>
      </c>
      <c r="AE95" t="s">
        <v>19</v>
      </c>
      <c r="AF95" s="3">
        <v>42826</v>
      </c>
      <c r="AG95">
        <v>3</v>
      </c>
      <c r="AH95">
        <f t="shared" ca="1" si="5"/>
        <v>9.0477479377087944E-3</v>
      </c>
    </row>
    <row r="96" spans="1:34">
      <c r="A96">
        <v>95</v>
      </c>
      <c r="B96" t="s">
        <v>8</v>
      </c>
      <c r="C96">
        <v>3</v>
      </c>
      <c r="D96" s="4" t="s">
        <v>137</v>
      </c>
      <c r="E96" t="s">
        <v>81</v>
      </c>
      <c r="F96">
        <v>4</v>
      </c>
      <c r="G96" t="s">
        <v>82</v>
      </c>
      <c r="H96" t="s">
        <v>82</v>
      </c>
      <c r="I96" s="2">
        <v>0.5</v>
      </c>
      <c r="J96" t="s">
        <v>80</v>
      </c>
      <c r="K96" t="s">
        <v>79</v>
      </c>
      <c r="L96" t="s">
        <v>14</v>
      </c>
      <c r="M96" t="s">
        <v>83</v>
      </c>
      <c r="N96">
        <v>0</v>
      </c>
      <c r="O96" t="s">
        <v>142</v>
      </c>
      <c r="P96" t="s">
        <v>14</v>
      </c>
      <c r="Q96" s="1" t="s">
        <v>68</v>
      </c>
      <c r="R96" t="s">
        <v>68</v>
      </c>
      <c r="S96" t="e">
        <f>IF(T96="","",INDEX('Backing 4'!U:U,MATCH(T96,'Backing 4'!T:T,0)))</f>
        <v>#N/A</v>
      </c>
      <c r="T96" t="str">
        <f t="shared" si="3"/>
        <v xml:space="preserve"> Senior Manager &amp; Operations</v>
      </c>
      <c r="U96" t="e">
        <f>IF(V96="","",INDEX('Backing 4'!Z:Z,MATCH(V96,'Backing 4'!Y:Y,0)))</f>
        <v>#N/A</v>
      </c>
      <c r="V96" t="str">
        <f t="shared" si="4"/>
        <v xml:space="preserve"> Senior Manager</v>
      </c>
      <c r="W96">
        <v>3</v>
      </c>
      <c r="X96" t="str">
        <f>IF(E96="Y","",IF(Y96="Y",INDEX('Backing 2'!B:B,MATCH(D96,'Backing 2'!C:C,0)),D96))</f>
        <v xml:space="preserve"> Senior Manager</v>
      </c>
      <c r="Y96" t="s">
        <v>81</v>
      </c>
      <c r="Z96">
        <v>3</v>
      </c>
      <c r="AA96" t="s">
        <v>71</v>
      </c>
      <c r="AB96">
        <v>40</v>
      </c>
      <c r="AC96" t="s">
        <v>30</v>
      </c>
      <c r="AD96" t="s">
        <v>74</v>
      </c>
      <c r="AE96" t="s">
        <v>74</v>
      </c>
      <c r="AF96" s="3">
        <v>41000</v>
      </c>
      <c r="AG96">
        <v>8</v>
      </c>
      <c r="AH96">
        <f t="shared" ca="1" si="5"/>
        <v>0.44921531697824957</v>
      </c>
    </row>
    <row r="97" spans="1:34">
      <c r="A97">
        <v>96</v>
      </c>
      <c r="B97" t="s">
        <v>8</v>
      </c>
      <c r="C97">
        <v>6</v>
      </c>
      <c r="D97" t="s">
        <v>134</v>
      </c>
      <c r="E97" t="s">
        <v>81</v>
      </c>
      <c r="F97">
        <v>2</v>
      </c>
      <c r="G97" t="s">
        <v>82</v>
      </c>
      <c r="H97" t="s">
        <v>80</v>
      </c>
      <c r="I97" s="2">
        <v>0.5</v>
      </c>
      <c r="J97" t="s">
        <v>82</v>
      </c>
      <c r="K97" t="s">
        <v>79</v>
      </c>
      <c r="L97" t="s">
        <v>14</v>
      </c>
      <c r="M97">
        <v>0</v>
      </c>
      <c r="N97">
        <v>6</v>
      </c>
      <c r="O97" t="s">
        <v>134</v>
      </c>
      <c r="P97" t="s">
        <v>14</v>
      </c>
      <c r="Q97" s="1" t="s">
        <v>68</v>
      </c>
      <c r="R97" t="s">
        <v>68</v>
      </c>
      <c r="S97" t="e">
        <f>IF(T97="","",INDEX('Backing 4'!U:U,MATCH(T97,'Backing 4'!T:T,0)))</f>
        <v>#N/A</v>
      </c>
      <c r="T97" t="str">
        <f t="shared" si="3"/>
        <v xml:space="preserve"> Junior Officer &amp; Operations</v>
      </c>
      <c r="U97" t="e">
        <f>IF(V97="","",INDEX('Backing 4'!Z:Z,MATCH(V97,'Backing 4'!Y:Y,0)))</f>
        <v>#N/A</v>
      </c>
      <c r="V97" t="str">
        <f t="shared" si="4"/>
        <v xml:space="preserve"> Junior Officer</v>
      </c>
      <c r="W97">
        <v>1</v>
      </c>
      <c r="X97" t="str">
        <f>IF(E97="Y","",IF(Y97="Y",INDEX('Backing 2'!B:B,MATCH(D97,'Backing 2'!C:C,0)),D97))</f>
        <v xml:space="preserve"> Junior Officer</v>
      </c>
      <c r="Y97" t="s">
        <v>81</v>
      </c>
      <c r="Z97">
        <v>0</v>
      </c>
      <c r="AA97" t="s">
        <v>69</v>
      </c>
      <c r="AB97">
        <v>25</v>
      </c>
      <c r="AC97" t="s">
        <v>31</v>
      </c>
      <c r="AD97" t="s">
        <v>74</v>
      </c>
      <c r="AE97" t="s">
        <v>74</v>
      </c>
      <c r="AF97" s="3">
        <v>43556</v>
      </c>
      <c r="AG97">
        <v>1</v>
      </c>
      <c r="AH97">
        <f t="shared" ca="1" si="5"/>
        <v>0.33291753344093555</v>
      </c>
    </row>
    <row r="98" spans="1:34">
      <c r="A98">
        <v>97</v>
      </c>
      <c r="B98" t="s">
        <v>7</v>
      </c>
      <c r="C98">
        <v>4</v>
      </c>
      <c r="D98" t="s">
        <v>135</v>
      </c>
      <c r="E98" t="s">
        <v>81</v>
      </c>
      <c r="F98">
        <v>2</v>
      </c>
      <c r="G98" t="s">
        <v>82</v>
      </c>
      <c r="H98" t="s">
        <v>80</v>
      </c>
      <c r="I98" s="2">
        <v>0.5</v>
      </c>
      <c r="J98" t="s">
        <v>82</v>
      </c>
      <c r="K98" t="s">
        <v>79</v>
      </c>
      <c r="L98" t="s">
        <v>13</v>
      </c>
      <c r="M98">
        <v>0</v>
      </c>
      <c r="N98">
        <v>4</v>
      </c>
      <c r="O98" t="s">
        <v>135</v>
      </c>
      <c r="P98" t="s">
        <v>13</v>
      </c>
      <c r="Q98" s="1" t="s">
        <v>68</v>
      </c>
      <c r="R98" t="s">
        <v>68</v>
      </c>
      <c r="S98" t="e">
        <f>IF(T98="","",INDEX('Backing 4'!U:U,MATCH(T98,'Backing 4'!T:T,0)))</f>
        <v>#N/A</v>
      </c>
      <c r="T98" t="str">
        <f t="shared" si="3"/>
        <v xml:space="preserve"> Manager &amp; HR</v>
      </c>
      <c r="U98" t="e">
        <f>IF(V98="","",INDEX('Backing 4'!Z:Z,MATCH(V98,'Backing 4'!Y:Y,0)))</f>
        <v>#N/A</v>
      </c>
      <c r="V98" t="str">
        <f t="shared" si="4"/>
        <v xml:space="preserve"> Manager</v>
      </c>
      <c r="W98">
        <v>2</v>
      </c>
      <c r="X98" t="str">
        <f>IF(E98="Y","",IF(Y98="Y",INDEX('Backing 2'!B:B,MATCH(D98,'Backing 2'!C:C,0)),D98))</f>
        <v xml:space="preserve"> Manager</v>
      </c>
      <c r="Y98" t="s">
        <v>81</v>
      </c>
      <c r="Z98">
        <v>3</v>
      </c>
      <c r="AA98" t="s">
        <v>71</v>
      </c>
      <c r="AB98">
        <v>40</v>
      </c>
      <c r="AC98" t="s">
        <v>30</v>
      </c>
      <c r="AD98" t="s">
        <v>74</v>
      </c>
      <c r="AE98" t="s">
        <v>74</v>
      </c>
      <c r="AF98" s="3">
        <v>42826</v>
      </c>
      <c r="AG98">
        <v>3</v>
      </c>
      <c r="AH98">
        <f t="shared" ca="1" si="5"/>
        <v>0.94541356581213731</v>
      </c>
    </row>
    <row r="99" spans="1:34">
      <c r="A99">
        <v>98</v>
      </c>
      <c r="B99" t="s">
        <v>8</v>
      </c>
      <c r="C99">
        <v>2</v>
      </c>
      <c r="D99" t="s">
        <v>136</v>
      </c>
      <c r="E99" t="s">
        <v>81</v>
      </c>
      <c r="F99">
        <v>3</v>
      </c>
      <c r="G99" t="s">
        <v>82</v>
      </c>
      <c r="H99" t="s">
        <v>80</v>
      </c>
      <c r="I99" s="2">
        <v>0.5</v>
      </c>
      <c r="J99" t="s">
        <v>82</v>
      </c>
      <c r="K99" t="s">
        <v>79</v>
      </c>
      <c r="L99" t="s">
        <v>14</v>
      </c>
      <c r="M99">
        <v>0</v>
      </c>
      <c r="N99">
        <v>2</v>
      </c>
      <c r="O99" t="s">
        <v>136</v>
      </c>
      <c r="P99" t="s">
        <v>14</v>
      </c>
      <c r="Q99" s="1" t="s">
        <v>68</v>
      </c>
      <c r="R99" t="s">
        <v>68</v>
      </c>
      <c r="S99" t="e">
        <f>IF(T99="","",INDEX('Backing 4'!U:U,MATCH(T99,'Backing 4'!T:T,0)))</f>
        <v>#N/A</v>
      </c>
      <c r="T99" t="str">
        <f t="shared" si="3"/>
        <v xml:space="preserve"> Director &amp; Operations</v>
      </c>
      <c r="U99" t="s">
        <v>120</v>
      </c>
      <c r="V99" t="str">
        <f t="shared" si="4"/>
        <v xml:space="preserve"> Director</v>
      </c>
      <c r="W99">
        <v>3</v>
      </c>
      <c r="X99" t="str">
        <f>IF(E99="Y","",IF(Y99="Y",INDEX('Backing 2'!B:B,MATCH(D99,'Backing 2'!C:C,0)),D99))</f>
        <v xml:space="preserve"> Director</v>
      </c>
      <c r="Y99" t="s">
        <v>81</v>
      </c>
      <c r="Z99">
        <v>3</v>
      </c>
      <c r="AA99" t="s">
        <v>71</v>
      </c>
      <c r="AB99">
        <v>41</v>
      </c>
      <c r="AC99" t="s">
        <v>19</v>
      </c>
      <c r="AD99" t="s">
        <v>19</v>
      </c>
      <c r="AE99" t="s">
        <v>19</v>
      </c>
      <c r="AF99" s="3">
        <v>40634</v>
      </c>
      <c r="AG99">
        <v>9</v>
      </c>
      <c r="AH99">
        <f t="shared" ca="1" si="5"/>
        <v>0.9194620593080004</v>
      </c>
    </row>
    <row r="100" spans="1:34">
      <c r="A100">
        <v>99</v>
      </c>
      <c r="B100" t="s">
        <v>7</v>
      </c>
      <c r="C100">
        <v>6</v>
      </c>
      <c r="D100" t="s">
        <v>134</v>
      </c>
      <c r="E100" t="s">
        <v>81</v>
      </c>
      <c r="F100">
        <v>3</v>
      </c>
      <c r="G100" t="s">
        <v>82</v>
      </c>
      <c r="H100" t="s">
        <v>80</v>
      </c>
      <c r="I100" s="2">
        <v>0.5</v>
      </c>
      <c r="J100" t="s">
        <v>82</v>
      </c>
      <c r="K100" t="s">
        <v>79</v>
      </c>
      <c r="L100" t="s">
        <v>16</v>
      </c>
      <c r="M100">
        <v>0</v>
      </c>
      <c r="N100">
        <v>6</v>
      </c>
      <c r="O100" t="s">
        <v>134</v>
      </c>
      <c r="P100" t="s">
        <v>16</v>
      </c>
      <c r="Q100" s="1" t="s">
        <v>68</v>
      </c>
      <c r="R100" t="s">
        <v>68</v>
      </c>
      <c r="S100" t="e">
        <f>IF(T100="","",INDEX('Backing 4'!U:U,MATCH(T100,'Backing 4'!T:T,0)))</f>
        <v>#N/A</v>
      </c>
      <c r="T100" t="str">
        <f t="shared" si="3"/>
        <v xml:space="preserve"> Junior Officer &amp; Sales &amp; Marketing</v>
      </c>
      <c r="U100" t="e">
        <f>IF(V100="","",INDEX('Backing 4'!Z:Z,MATCH(V100,'Backing 4'!Y:Y,0)))</f>
        <v>#N/A</v>
      </c>
      <c r="V100" t="str">
        <f t="shared" si="4"/>
        <v xml:space="preserve"> Junior Officer</v>
      </c>
      <c r="W100">
        <v>3</v>
      </c>
      <c r="X100" t="str">
        <f>IF(E100="Y","",IF(Y100="Y",INDEX('Backing 2'!B:B,MATCH(D100,'Backing 2'!C:C,0)),D100))</f>
        <v xml:space="preserve"> Junior Officer</v>
      </c>
      <c r="Y100" t="s">
        <v>81</v>
      </c>
      <c r="Z100">
        <v>3</v>
      </c>
      <c r="AA100" t="s">
        <v>69</v>
      </c>
      <c r="AB100">
        <v>28</v>
      </c>
      <c r="AC100" t="s">
        <v>31</v>
      </c>
      <c r="AD100" t="s">
        <v>74</v>
      </c>
      <c r="AE100" t="s">
        <v>74</v>
      </c>
      <c r="AF100" s="3">
        <v>42826</v>
      </c>
      <c r="AG100">
        <v>3</v>
      </c>
      <c r="AH100">
        <f t="shared" ca="1" si="5"/>
        <v>0.73338845377933781</v>
      </c>
    </row>
    <row r="101" spans="1:34">
      <c r="A101">
        <v>100</v>
      </c>
      <c r="B101" t="s">
        <v>8</v>
      </c>
      <c r="C101">
        <v>3</v>
      </c>
      <c r="D101" t="s">
        <v>137</v>
      </c>
      <c r="E101" t="s">
        <v>81</v>
      </c>
      <c r="F101">
        <v>3</v>
      </c>
      <c r="G101" t="s">
        <v>82</v>
      </c>
      <c r="H101" t="s">
        <v>80</v>
      </c>
      <c r="I101" s="2">
        <v>0.5</v>
      </c>
      <c r="J101" t="s">
        <v>82</v>
      </c>
      <c r="K101" t="s">
        <v>79</v>
      </c>
      <c r="L101" t="s">
        <v>15</v>
      </c>
      <c r="M101">
        <v>0</v>
      </c>
      <c r="N101">
        <v>3</v>
      </c>
      <c r="O101" t="s">
        <v>137</v>
      </c>
      <c r="P101" t="s">
        <v>15</v>
      </c>
      <c r="Q101" s="1" t="s">
        <v>68</v>
      </c>
      <c r="R101" t="s">
        <v>68</v>
      </c>
      <c r="S101" t="e">
        <f>IF(T101="","",INDEX('Backing 4'!U:U,MATCH(T101,'Backing 4'!T:T,0)))</f>
        <v>#N/A</v>
      </c>
      <c r="T101" t="str">
        <f t="shared" si="3"/>
        <v xml:space="preserve"> Senior Manager &amp; Internal Services</v>
      </c>
      <c r="U101" t="e">
        <f>IF(V101="","",INDEX('Backing 4'!Z:Z,MATCH(V101,'Backing 4'!Y:Y,0)))</f>
        <v>#N/A</v>
      </c>
      <c r="V101" t="str">
        <f t="shared" si="4"/>
        <v xml:space="preserve"> Senior Manager</v>
      </c>
      <c r="W101">
        <v>2</v>
      </c>
      <c r="X101" t="str">
        <f>IF(E101="Y","",IF(Y101="Y",INDEX('Backing 2'!B:B,MATCH(D101,'Backing 2'!C:C,0)),D101))</f>
        <v xml:space="preserve"> Senior Manager</v>
      </c>
      <c r="Y101" t="s">
        <v>81</v>
      </c>
      <c r="Z101">
        <v>3</v>
      </c>
      <c r="AA101" t="s">
        <v>70</v>
      </c>
      <c r="AB101">
        <v>39</v>
      </c>
      <c r="AC101" t="s">
        <v>30</v>
      </c>
      <c r="AD101" t="s">
        <v>74</v>
      </c>
      <c r="AE101" t="s">
        <v>74</v>
      </c>
      <c r="AF101" s="3">
        <v>41730</v>
      </c>
      <c r="AG101">
        <v>6</v>
      </c>
      <c r="AH101">
        <f t="shared" ca="1" si="5"/>
        <v>0.50618048370482083</v>
      </c>
    </row>
    <row r="102" spans="1:34">
      <c r="A102">
        <v>101</v>
      </c>
      <c r="B102" t="s">
        <v>7</v>
      </c>
      <c r="C102">
        <v>6</v>
      </c>
      <c r="D102" t="s">
        <v>134</v>
      </c>
      <c r="E102" t="s">
        <v>81</v>
      </c>
      <c r="F102">
        <v>2</v>
      </c>
      <c r="G102" t="s">
        <v>82</v>
      </c>
      <c r="H102" t="s">
        <v>80</v>
      </c>
      <c r="I102" s="2">
        <v>0.5</v>
      </c>
      <c r="J102" t="s">
        <v>82</v>
      </c>
      <c r="K102" t="s">
        <v>79</v>
      </c>
      <c r="L102" t="s">
        <v>16</v>
      </c>
      <c r="M102">
        <v>0</v>
      </c>
      <c r="N102">
        <v>6</v>
      </c>
      <c r="O102" t="s">
        <v>134</v>
      </c>
      <c r="P102" t="s">
        <v>16</v>
      </c>
      <c r="Q102" s="1" t="s">
        <v>68</v>
      </c>
      <c r="R102" t="s">
        <v>68</v>
      </c>
      <c r="S102" t="e">
        <f>IF(T102="","",INDEX('Backing 4'!U:U,MATCH(T102,'Backing 4'!T:T,0)))</f>
        <v>#N/A</v>
      </c>
      <c r="T102" t="str">
        <f t="shared" si="3"/>
        <v xml:space="preserve"> Junior Officer &amp; Sales &amp; Marketing</v>
      </c>
      <c r="U102" t="e">
        <f>IF(V102="","",INDEX('Backing 4'!Z:Z,MATCH(V102,'Backing 4'!Y:Y,0)))</f>
        <v>#N/A</v>
      </c>
      <c r="V102" t="str">
        <f t="shared" si="4"/>
        <v xml:space="preserve"> Junior Officer</v>
      </c>
      <c r="W102">
        <v>2</v>
      </c>
      <c r="X102" t="str">
        <f>IF(E102="Y","",IF(Y102="Y",INDEX('Backing 2'!B:B,MATCH(D102,'Backing 2'!C:C,0)),D102))</f>
        <v xml:space="preserve"> Junior Officer</v>
      </c>
      <c r="Y102" t="s">
        <v>81</v>
      </c>
      <c r="Z102">
        <v>3</v>
      </c>
      <c r="AA102" t="s">
        <v>69</v>
      </c>
      <c r="AB102">
        <v>22</v>
      </c>
      <c r="AC102" t="s">
        <v>30</v>
      </c>
      <c r="AD102" t="s">
        <v>74</v>
      </c>
      <c r="AE102" t="s">
        <v>74</v>
      </c>
      <c r="AF102" s="3">
        <v>43191</v>
      </c>
      <c r="AG102">
        <v>2</v>
      </c>
      <c r="AH102">
        <f t="shared" ca="1" si="5"/>
        <v>0.67613661515416768</v>
      </c>
    </row>
    <row r="103" spans="1:34">
      <c r="A103">
        <v>102</v>
      </c>
      <c r="B103" t="s">
        <v>7</v>
      </c>
      <c r="C103">
        <v>4</v>
      </c>
      <c r="D103" t="s">
        <v>135</v>
      </c>
      <c r="E103" t="s">
        <v>81</v>
      </c>
      <c r="F103">
        <v>2</v>
      </c>
      <c r="G103" t="s">
        <v>82</v>
      </c>
      <c r="H103" t="s">
        <v>80</v>
      </c>
      <c r="I103" s="2">
        <v>0.5</v>
      </c>
      <c r="J103" t="s">
        <v>82</v>
      </c>
      <c r="K103" t="s">
        <v>79</v>
      </c>
      <c r="L103" t="s">
        <v>14</v>
      </c>
      <c r="M103">
        <v>0</v>
      </c>
      <c r="N103">
        <v>4</v>
      </c>
      <c r="O103" t="s">
        <v>135</v>
      </c>
      <c r="P103" t="s">
        <v>14</v>
      </c>
      <c r="Q103" s="1" t="s">
        <v>68</v>
      </c>
      <c r="R103" t="s">
        <v>68</v>
      </c>
      <c r="S103" t="e">
        <f>IF(T103="","",INDEX('Backing 4'!U:U,MATCH(T103,'Backing 4'!T:T,0)))</f>
        <v>#N/A</v>
      </c>
      <c r="T103" t="str">
        <f t="shared" si="3"/>
        <v xml:space="preserve"> Manager &amp; Operations</v>
      </c>
      <c r="U103" t="e">
        <f>IF(V103="","",INDEX('Backing 4'!Z:Z,MATCH(V103,'Backing 4'!Y:Y,0)))</f>
        <v>#N/A</v>
      </c>
      <c r="V103" t="str">
        <f t="shared" si="4"/>
        <v xml:space="preserve"> Manager</v>
      </c>
      <c r="W103">
        <v>2</v>
      </c>
      <c r="X103" t="str">
        <f>IF(E103="Y","",IF(Y103="Y",INDEX('Backing 2'!B:B,MATCH(D103,'Backing 2'!C:C,0)),D103))</f>
        <v xml:space="preserve"> Manager</v>
      </c>
      <c r="Y103" t="s">
        <v>81</v>
      </c>
      <c r="Z103">
        <v>0</v>
      </c>
      <c r="AA103" t="s">
        <v>71</v>
      </c>
      <c r="AB103">
        <v>40</v>
      </c>
      <c r="AC103" t="s">
        <v>27</v>
      </c>
      <c r="AD103" t="s">
        <v>77</v>
      </c>
      <c r="AE103" t="s">
        <v>78</v>
      </c>
      <c r="AF103" s="3">
        <v>43191</v>
      </c>
      <c r="AG103">
        <v>2</v>
      </c>
      <c r="AH103">
        <f t="shared" ca="1" si="5"/>
        <v>0.18657574902874319</v>
      </c>
    </row>
    <row r="104" spans="1:34">
      <c r="A104">
        <v>103</v>
      </c>
      <c r="B104" t="s">
        <v>8</v>
      </c>
      <c r="C104">
        <v>6</v>
      </c>
      <c r="D104" t="s">
        <v>134</v>
      </c>
      <c r="E104" t="s">
        <v>81</v>
      </c>
      <c r="F104">
        <v>2</v>
      </c>
      <c r="G104" t="s">
        <v>82</v>
      </c>
      <c r="H104" t="s">
        <v>80</v>
      </c>
      <c r="I104" s="2">
        <v>0.5</v>
      </c>
      <c r="J104" t="s">
        <v>82</v>
      </c>
      <c r="K104" t="s">
        <v>79</v>
      </c>
      <c r="L104" t="s">
        <v>16</v>
      </c>
      <c r="M104">
        <v>0</v>
      </c>
      <c r="N104">
        <v>6</v>
      </c>
      <c r="O104" t="s">
        <v>134</v>
      </c>
      <c r="P104" t="s">
        <v>16</v>
      </c>
      <c r="Q104" s="1" t="s">
        <v>68</v>
      </c>
      <c r="R104" t="s">
        <v>68</v>
      </c>
      <c r="S104" t="e">
        <f>IF(T104="","",INDEX('Backing 4'!U:U,MATCH(T104,'Backing 4'!T:T,0)))</f>
        <v>#N/A</v>
      </c>
      <c r="T104" t="str">
        <f t="shared" si="3"/>
        <v xml:space="preserve"> Junior Officer &amp; Sales &amp; Marketing</v>
      </c>
      <c r="U104" t="e">
        <f>IF(V104="","",INDEX('Backing 4'!Z:Z,MATCH(V104,'Backing 4'!Y:Y,0)))</f>
        <v>#N/A</v>
      </c>
      <c r="V104" t="str">
        <f t="shared" si="4"/>
        <v xml:space="preserve"> Junior Officer</v>
      </c>
      <c r="W104">
        <v>5</v>
      </c>
      <c r="X104" t="str">
        <f>IF(E104="Y","",IF(Y104="Y",INDEX('Backing 2'!B:B,MATCH(D104,'Backing 2'!C:C,0)),D104))</f>
        <v xml:space="preserve"> Junior Officer</v>
      </c>
      <c r="Y104" t="s">
        <v>81</v>
      </c>
      <c r="Z104">
        <v>3</v>
      </c>
      <c r="AA104" t="s">
        <v>69</v>
      </c>
      <c r="AB104">
        <v>22</v>
      </c>
      <c r="AC104" t="s">
        <v>31</v>
      </c>
      <c r="AD104" t="s">
        <v>74</v>
      </c>
      <c r="AE104" t="s">
        <v>74</v>
      </c>
      <c r="AF104" s="3">
        <v>42095</v>
      </c>
      <c r="AG104">
        <v>5</v>
      </c>
      <c r="AH104">
        <f t="shared" ca="1" si="5"/>
        <v>0.74674049767189654</v>
      </c>
    </row>
    <row r="105" spans="1:34">
      <c r="A105">
        <v>104</v>
      </c>
      <c r="B105" t="s">
        <v>7</v>
      </c>
      <c r="C105">
        <v>5</v>
      </c>
      <c r="D105" t="s">
        <v>138</v>
      </c>
      <c r="E105" t="s">
        <v>81</v>
      </c>
      <c r="F105">
        <v>2</v>
      </c>
      <c r="G105" t="s">
        <v>82</v>
      </c>
      <c r="H105" t="s">
        <v>80</v>
      </c>
      <c r="I105" s="2">
        <v>0.5</v>
      </c>
      <c r="J105" t="s">
        <v>82</v>
      </c>
      <c r="K105" t="s">
        <v>79</v>
      </c>
      <c r="L105" t="s">
        <v>16</v>
      </c>
      <c r="M105">
        <v>0</v>
      </c>
      <c r="N105">
        <v>5</v>
      </c>
      <c r="O105" t="s">
        <v>138</v>
      </c>
      <c r="P105" t="s">
        <v>16</v>
      </c>
      <c r="Q105" s="1" t="s">
        <v>68</v>
      </c>
      <c r="R105" t="s">
        <v>68</v>
      </c>
      <c r="S105" t="e">
        <f>IF(T105="","",INDEX('Backing 4'!U:U,MATCH(T105,'Backing 4'!T:T,0)))</f>
        <v>#N/A</v>
      </c>
      <c r="T105" t="str">
        <f t="shared" si="3"/>
        <v xml:space="preserve"> Senior Officer &amp; Sales &amp; Marketing</v>
      </c>
      <c r="U105" t="e">
        <f>IF(V105="","",INDEX('Backing 4'!Z:Z,MATCH(V105,'Backing 4'!Y:Y,0)))</f>
        <v>#N/A</v>
      </c>
      <c r="V105" t="str">
        <f t="shared" si="4"/>
        <v xml:space="preserve"> Senior Officer</v>
      </c>
      <c r="W105">
        <v>3</v>
      </c>
      <c r="X105" t="str">
        <f>IF(E105="Y","",IF(Y105="Y",INDEX('Backing 2'!B:B,MATCH(D105,'Backing 2'!C:C,0)),D105))</f>
        <v xml:space="preserve"> Senior Officer</v>
      </c>
      <c r="Y105" t="s">
        <v>81</v>
      </c>
      <c r="Z105">
        <v>2</v>
      </c>
      <c r="AA105" t="s">
        <v>69</v>
      </c>
      <c r="AB105">
        <v>28</v>
      </c>
      <c r="AC105" t="s">
        <v>19</v>
      </c>
      <c r="AD105" t="s">
        <v>19</v>
      </c>
      <c r="AE105" t="s">
        <v>19</v>
      </c>
      <c r="AF105" s="3">
        <v>42095</v>
      </c>
      <c r="AG105">
        <v>5</v>
      </c>
      <c r="AH105">
        <f t="shared" ca="1" si="5"/>
        <v>0.85111408127181165</v>
      </c>
    </row>
    <row r="106" spans="1:34">
      <c r="A106">
        <v>105</v>
      </c>
      <c r="B106" t="s">
        <v>8</v>
      </c>
      <c r="C106">
        <v>4</v>
      </c>
      <c r="D106" t="s">
        <v>135</v>
      </c>
      <c r="E106" t="s">
        <v>79</v>
      </c>
      <c r="F106">
        <v>0</v>
      </c>
      <c r="G106" t="s">
        <v>82</v>
      </c>
      <c r="H106" t="s">
        <v>82</v>
      </c>
      <c r="I106" s="2">
        <v>0.5</v>
      </c>
      <c r="J106" t="s">
        <v>82</v>
      </c>
      <c r="K106" t="s">
        <v>81</v>
      </c>
      <c r="L106" t="s">
        <v>16</v>
      </c>
      <c r="M106">
        <v>0</v>
      </c>
      <c r="N106">
        <v>4</v>
      </c>
      <c r="O106" t="s">
        <v>135</v>
      </c>
      <c r="P106" t="s">
        <v>16</v>
      </c>
      <c r="Q106" s="1" t="s">
        <v>68</v>
      </c>
      <c r="R106" t="s">
        <v>68</v>
      </c>
      <c r="S106" t="e">
        <f>IF(T106="","",INDEX('Backing 4'!U:U,MATCH(T106,'Backing 4'!T:T,0)))</f>
        <v>#N/A</v>
      </c>
      <c r="T106" t="str">
        <f t="shared" si="3"/>
        <v xml:space="preserve"> Manager &amp; Sales &amp; Marketing</v>
      </c>
      <c r="U106" t="e">
        <f>IF(V106="","",INDEX('Backing 4'!Z:Z,MATCH(V106,'Backing 4'!Y:Y,0)))</f>
        <v>#N/A</v>
      </c>
      <c r="V106" t="str">
        <f t="shared" si="4"/>
        <v xml:space="preserve"> Manager</v>
      </c>
      <c r="W106">
        <v>0</v>
      </c>
      <c r="X106" t="str">
        <f>IF(E106="Y","",IF(Y106="Y",INDEX('Backing 2'!B:B,MATCH(D106,'Backing 2'!C:C,0)),D106))</f>
        <v/>
      </c>
      <c r="Y106" t="s">
        <v>81</v>
      </c>
      <c r="Z106">
        <v>0</v>
      </c>
      <c r="AA106" t="s">
        <v>70</v>
      </c>
      <c r="AB106">
        <v>30</v>
      </c>
      <c r="AC106" t="s">
        <v>31</v>
      </c>
      <c r="AD106" t="s">
        <v>74</v>
      </c>
      <c r="AE106" t="s">
        <v>74</v>
      </c>
      <c r="AF106" s="3">
        <v>43922</v>
      </c>
      <c r="AG106">
        <v>0</v>
      </c>
      <c r="AH106">
        <f t="shared" ca="1" si="5"/>
        <v>0.21562281020032303</v>
      </c>
    </row>
    <row r="107" spans="1:34">
      <c r="A107">
        <v>106</v>
      </c>
      <c r="B107" t="s">
        <v>8</v>
      </c>
      <c r="C107">
        <v>2</v>
      </c>
      <c r="D107" t="s">
        <v>136</v>
      </c>
      <c r="E107" t="s">
        <v>81</v>
      </c>
      <c r="F107">
        <v>1</v>
      </c>
      <c r="G107" t="s">
        <v>82</v>
      </c>
      <c r="H107" t="s">
        <v>80</v>
      </c>
      <c r="I107" s="2">
        <v>0.5</v>
      </c>
      <c r="J107" t="s">
        <v>82</v>
      </c>
      <c r="K107" t="s">
        <v>79</v>
      </c>
      <c r="L107" t="s">
        <v>16</v>
      </c>
      <c r="M107">
        <v>0</v>
      </c>
      <c r="N107">
        <v>2</v>
      </c>
      <c r="O107" t="s">
        <v>136</v>
      </c>
      <c r="P107" t="s">
        <v>16</v>
      </c>
      <c r="Q107" s="1" t="s">
        <v>68</v>
      </c>
      <c r="R107" t="s">
        <v>68</v>
      </c>
      <c r="S107" t="e">
        <f>IF(T107="","",INDEX('Backing 4'!U:U,MATCH(T107,'Backing 4'!T:T,0)))</f>
        <v>#N/A</v>
      </c>
      <c r="T107" t="str">
        <f t="shared" si="3"/>
        <v xml:space="preserve"> Director &amp; Sales &amp; Marketing</v>
      </c>
      <c r="U107" t="s">
        <v>120</v>
      </c>
      <c r="V107" t="str">
        <f t="shared" si="4"/>
        <v xml:space="preserve"> Director</v>
      </c>
      <c r="W107">
        <v>3</v>
      </c>
      <c r="X107" t="str">
        <f>IF(E107="Y","",IF(Y107="Y",INDEX('Backing 2'!B:B,MATCH(D107,'Backing 2'!C:C,0)),D107))</f>
        <v xml:space="preserve"> Director</v>
      </c>
      <c r="Y107" t="s">
        <v>81</v>
      </c>
      <c r="Z107">
        <v>3</v>
      </c>
      <c r="AA107" t="s">
        <v>70</v>
      </c>
      <c r="AB107">
        <v>35</v>
      </c>
      <c r="AC107" t="s">
        <v>31</v>
      </c>
      <c r="AD107" t="s">
        <v>74</v>
      </c>
      <c r="AE107" t="s">
        <v>74</v>
      </c>
      <c r="AF107" s="3">
        <v>42826</v>
      </c>
      <c r="AG107">
        <v>3</v>
      </c>
      <c r="AH107">
        <f t="shared" ca="1" si="5"/>
        <v>0.3218772719901265</v>
      </c>
    </row>
    <row r="108" spans="1:34">
      <c r="A108">
        <v>107</v>
      </c>
      <c r="B108" t="s">
        <v>7</v>
      </c>
      <c r="C108">
        <v>6</v>
      </c>
      <c r="D108" t="s">
        <v>134</v>
      </c>
      <c r="E108" t="s">
        <v>81</v>
      </c>
      <c r="F108">
        <v>2</v>
      </c>
      <c r="G108" t="s">
        <v>82</v>
      </c>
      <c r="H108" t="s">
        <v>80</v>
      </c>
      <c r="I108" s="2">
        <v>0.5</v>
      </c>
      <c r="J108" t="s">
        <v>82</v>
      </c>
      <c r="K108" t="s">
        <v>79</v>
      </c>
      <c r="L108" t="s">
        <v>14</v>
      </c>
      <c r="M108">
        <v>0</v>
      </c>
      <c r="N108">
        <v>6</v>
      </c>
      <c r="O108" t="s">
        <v>134</v>
      </c>
      <c r="P108" t="s">
        <v>14</v>
      </c>
      <c r="Q108" s="1" t="s">
        <v>68</v>
      </c>
      <c r="R108" t="s">
        <v>68</v>
      </c>
      <c r="S108" t="e">
        <f>IF(T108="","",INDEX('Backing 4'!U:U,MATCH(T108,'Backing 4'!T:T,0)))</f>
        <v>#N/A</v>
      </c>
      <c r="T108" t="str">
        <f t="shared" si="3"/>
        <v xml:space="preserve"> Junior Officer &amp; Operations</v>
      </c>
      <c r="U108" t="e">
        <f>IF(V108="","",INDEX('Backing 4'!Z:Z,MATCH(V108,'Backing 4'!Y:Y,0)))</f>
        <v>#N/A</v>
      </c>
      <c r="V108" t="str">
        <f t="shared" si="4"/>
        <v xml:space="preserve"> Junior Officer</v>
      </c>
      <c r="W108">
        <v>2</v>
      </c>
      <c r="X108" t="str">
        <f>IF(E108="Y","",IF(Y108="Y",INDEX('Backing 2'!B:B,MATCH(D108,'Backing 2'!C:C,0)),D108))</f>
        <v xml:space="preserve"> Junior Officer</v>
      </c>
      <c r="Y108" t="s">
        <v>81</v>
      </c>
      <c r="Z108">
        <v>2</v>
      </c>
      <c r="AA108" t="s">
        <v>69</v>
      </c>
      <c r="AB108">
        <v>23</v>
      </c>
      <c r="AC108" t="s">
        <v>19</v>
      </c>
      <c r="AD108" t="s">
        <v>19</v>
      </c>
      <c r="AE108" t="s">
        <v>19</v>
      </c>
      <c r="AF108" s="3">
        <v>43191</v>
      </c>
      <c r="AG108">
        <v>2</v>
      </c>
      <c r="AH108">
        <f t="shared" ca="1" si="5"/>
        <v>0.84282794150318796</v>
      </c>
    </row>
    <row r="109" spans="1:34">
      <c r="A109">
        <v>108</v>
      </c>
      <c r="B109" t="s">
        <v>8</v>
      </c>
      <c r="C109">
        <v>3</v>
      </c>
      <c r="D109" t="s">
        <v>137</v>
      </c>
      <c r="E109" t="s">
        <v>81</v>
      </c>
      <c r="F109">
        <v>3</v>
      </c>
      <c r="G109" t="s">
        <v>82</v>
      </c>
      <c r="H109" t="s">
        <v>80</v>
      </c>
      <c r="I109" s="2">
        <v>0.5</v>
      </c>
      <c r="J109" t="s">
        <v>82</v>
      </c>
      <c r="K109" t="s">
        <v>79</v>
      </c>
      <c r="L109" t="s">
        <v>14</v>
      </c>
      <c r="M109">
        <v>0</v>
      </c>
      <c r="N109">
        <v>3</v>
      </c>
      <c r="O109" t="s">
        <v>137</v>
      </c>
      <c r="P109" t="s">
        <v>14</v>
      </c>
      <c r="Q109" s="1" t="s">
        <v>68</v>
      </c>
      <c r="R109" t="s">
        <v>68</v>
      </c>
      <c r="S109" t="e">
        <f>IF(T109="","",INDEX('Backing 4'!U:U,MATCH(T109,'Backing 4'!T:T,0)))</f>
        <v>#N/A</v>
      </c>
      <c r="T109" t="str">
        <f t="shared" si="3"/>
        <v xml:space="preserve"> Senior Manager &amp; Operations</v>
      </c>
      <c r="U109" t="e">
        <f>IF(V109="","",INDEX('Backing 4'!Z:Z,MATCH(V109,'Backing 4'!Y:Y,0)))</f>
        <v>#N/A</v>
      </c>
      <c r="V109" t="str">
        <f t="shared" si="4"/>
        <v xml:space="preserve"> Senior Manager</v>
      </c>
      <c r="W109">
        <v>6</v>
      </c>
      <c r="X109" t="str">
        <f>IF(E109="Y","",IF(Y109="Y",INDEX('Backing 2'!B:B,MATCH(D109,'Backing 2'!C:C,0)),D109))</f>
        <v xml:space="preserve"> Senior Manager</v>
      </c>
      <c r="Y109" t="s">
        <v>81</v>
      </c>
      <c r="Z109">
        <v>3</v>
      </c>
      <c r="AA109" t="s">
        <v>70</v>
      </c>
      <c r="AB109">
        <v>34</v>
      </c>
      <c r="AC109" t="s">
        <v>31</v>
      </c>
      <c r="AD109" t="s">
        <v>74</v>
      </c>
      <c r="AE109" t="s">
        <v>74</v>
      </c>
      <c r="AF109" s="3">
        <v>41730</v>
      </c>
      <c r="AG109">
        <v>6</v>
      </c>
      <c r="AH109">
        <f t="shared" ca="1" si="5"/>
        <v>0.82687925284237607</v>
      </c>
    </row>
    <row r="110" spans="1:34">
      <c r="A110">
        <v>109</v>
      </c>
      <c r="B110" t="s">
        <v>8</v>
      </c>
      <c r="C110">
        <v>6</v>
      </c>
      <c r="D110" t="s">
        <v>134</v>
      </c>
      <c r="E110" t="s">
        <v>79</v>
      </c>
      <c r="F110">
        <v>0</v>
      </c>
      <c r="G110" t="s">
        <v>82</v>
      </c>
      <c r="H110" t="s">
        <v>82</v>
      </c>
      <c r="I110" s="2">
        <v>0.5</v>
      </c>
      <c r="J110" t="s">
        <v>82</v>
      </c>
      <c r="K110" t="s">
        <v>81</v>
      </c>
      <c r="L110" t="s">
        <v>16</v>
      </c>
      <c r="M110">
        <v>0</v>
      </c>
      <c r="N110">
        <v>6</v>
      </c>
      <c r="O110" t="s">
        <v>134</v>
      </c>
      <c r="P110" t="s">
        <v>16</v>
      </c>
      <c r="Q110" s="1" t="s">
        <v>68</v>
      </c>
      <c r="R110" t="s">
        <v>68</v>
      </c>
      <c r="S110" t="e">
        <f>IF(T110="","",INDEX('Backing 4'!U:U,MATCH(T110,'Backing 4'!T:T,0)))</f>
        <v>#N/A</v>
      </c>
      <c r="T110" t="str">
        <f t="shared" si="3"/>
        <v xml:space="preserve"> Junior Officer &amp; Sales &amp; Marketing</v>
      </c>
      <c r="U110" t="e">
        <f>IF(V110="","",INDEX('Backing 4'!Z:Z,MATCH(V110,'Backing 4'!Y:Y,0)))</f>
        <v>#N/A</v>
      </c>
      <c r="V110" t="str">
        <f t="shared" si="4"/>
        <v xml:space="preserve"> Junior Officer</v>
      </c>
      <c r="W110">
        <v>0</v>
      </c>
      <c r="X110" t="str">
        <f>IF(E110="Y","",IF(Y110="Y",INDEX('Backing 2'!B:B,MATCH(D110,'Backing 2'!C:C,0)),D110))</f>
        <v/>
      </c>
      <c r="Y110" t="s">
        <v>81</v>
      </c>
      <c r="Z110">
        <v>0</v>
      </c>
      <c r="AA110" t="s">
        <v>69</v>
      </c>
      <c r="AB110">
        <v>24</v>
      </c>
      <c r="AC110" t="s">
        <v>19</v>
      </c>
      <c r="AD110" t="s">
        <v>19</v>
      </c>
      <c r="AE110" t="s">
        <v>19</v>
      </c>
      <c r="AF110" s="3">
        <v>43922</v>
      </c>
      <c r="AG110">
        <v>0</v>
      </c>
      <c r="AH110">
        <f t="shared" ca="1" si="5"/>
        <v>7.9639703758542568E-2</v>
      </c>
    </row>
    <row r="111" spans="1:34">
      <c r="A111">
        <v>110</v>
      </c>
      <c r="B111" t="s">
        <v>8</v>
      </c>
      <c r="C111">
        <v>5</v>
      </c>
      <c r="D111" t="s">
        <v>138</v>
      </c>
      <c r="E111" t="s">
        <v>81</v>
      </c>
      <c r="F111">
        <v>2</v>
      </c>
      <c r="G111" t="s">
        <v>82</v>
      </c>
      <c r="H111" t="s">
        <v>80</v>
      </c>
      <c r="I111" s="2">
        <v>0.5</v>
      </c>
      <c r="J111" t="s">
        <v>82</v>
      </c>
      <c r="K111" t="s">
        <v>79</v>
      </c>
      <c r="L111" t="s">
        <v>15</v>
      </c>
      <c r="M111">
        <v>0</v>
      </c>
      <c r="N111">
        <v>5</v>
      </c>
      <c r="O111" t="s">
        <v>138</v>
      </c>
      <c r="P111" t="s">
        <v>15</v>
      </c>
      <c r="Q111" s="1" t="s">
        <v>68</v>
      </c>
      <c r="R111" t="s">
        <v>68</v>
      </c>
      <c r="S111" t="e">
        <f>IF(T111="","",INDEX('Backing 4'!U:U,MATCH(T111,'Backing 4'!T:T,0)))</f>
        <v>#N/A</v>
      </c>
      <c r="T111" t="str">
        <f t="shared" si="3"/>
        <v xml:space="preserve"> Senior Officer &amp; Internal Services</v>
      </c>
      <c r="U111" t="e">
        <f>IF(V111="","",INDEX('Backing 4'!Z:Z,MATCH(V111,'Backing 4'!Y:Y,0)))</f>
        <v>#N/A</v>
      </c>
      <c r="V111" t="str">
        <f t="shared" si="4"/>
        <v xml:space="preserve"> Senior Officer</v>
      </c>
      <c r="W111">
        <v>3</v>
      </c>
      <c r="X111" t="str">
        <f>IF(E111="Y","",IF(Y111="Y",INDEX('Backing 2'!B:B,MATCH(D111,'Backing 2'!C:C,0)),D111))</f>
        <v xml:space="preserve"> Senior Officer</v>
      </c>
      <c r="Y111" t="s">
        <v>81</v>
      </c>
      <c r="Z111">
        <v>3</v>
      </c>
      <c r="AA111" t="s">
        <v>69</v>
      </c>
      <c r="AB111">
        <v>28</v>
      </c>
      <c r="AC111" t="s">
        <v>19</v>
      </c>
      <c r="AD111" t="s">
        <v>19</v>
      </c>
      <c r="AE111" t="s">
        <v>19</v>
      </c>
      <c r="AF111" s="3">
        <v>42461</v>
      </c>
      <c r="AG111">
        <v>4</v>
      </c>
      <c r="AH111">
        <f t="shared" ca="1" si="5"/>
        <v>0.37349924689193847</v>
      </c>
    </row>
    <row r="112" spans="1:34">
      <c r="A112">
        <v>111</v>
      </c>
      <c r="B112" t="s">
        <v>7</v>
      </c>
      <c r="C112">
        <v>5</v>
      </c>
      <c r="D112" t="s">
        <v>138</v>
      </c>
      <c r="E112" t="s">
        <v>79</v>
      </c>
      <c r="F112">
        <v>0</v>
      </c>
      <c r="G112" t="s">
        <v>82</v>
      </c>
      <c r="H112" t="s">
        <v>82</v>
      </c>
      <c r="I112" s="2">
        <v>0.5</v>
      </c>
      <c r="J112" t="s">
        <v>82</v>
      </c>
      <c r="K112" t="s">
        <v>81</v>
      </c>
      <c r="L112" t="s">
        <v>12</v>
      </c>
      <c r="M112">
        <v>0</v>
      </c>
      <c r="N112">
        <v>5</v>
      </c>
      <c r="O112" t="s">
        <v>138</v>
      </c>
      <c r="P112" t="s">
        <v>12</v>
      </c>
      <c r="Q112" s="1" t="s">
        <v>68</v>
      </c>
      <c r="R112" t="s">
        <v>68</v>
      </c>
      <c r="S112" t="e">
        <f>IF(T112="","",INDEX('Backing 4'!U:U,MATCH(T112,'Backing 4'!T:T,0)))</f>
        <v>#N/A</v>
      </c>
      <c r="T112" t="str">
        <f t="shared" si="3"/>
        <v xml:space="preserve"> Senior Officer &amp; Finance</v>
      </c>
      <c r="U112" t="e">
        <f>IF(V112="","",INDEX('Backing 4'!Z:Z,MATCH(V112,'Backing 4'!Y:Y,0)))</f>
        <v>#N/A</v>
      </c>
      <c r="V112" t="str">
        <f t="shared" si="4"/>
        <v xml:space="preserve"> Senior Officer</v>
      </c>
      <c r="W112">
        <v>0</v>
      </c>
      <c r="X112" t="str">
        <f>IF(E112="Y","",IF(Y112="Y",INDEX('Backing 2'!B:B,MATCH(D112,'Backing 2'!C:C,0)),D112))</f>
        <v/>
      </c>
      <c r="Y112" t="s">
        <v>81</v>
      </c>
      <c r="Z112">
        <v>0</v>
      </c>
      <c r="AA112" t="s">
        <v>70</v>
      </c>
      <c r="AB112">
        <v>33</v>
      </c>
      <c r="AC112" t="s">
        <v>30</v>
      </c>
      <c r="AD112" t="s">
        <v>74</v>
      </c>
      <c r="AE112" t="s">
        <v>74</v>
      </c>
      <c r="AF112" s="3">
        <v>43922</v>
      </c>
      <c r="AG112">
        <v>0</v>
      </c>
      <c r="AH112">
        <f t="shared" ca="1" si="5"/>
        <v>0.72397131492882383</v>
      </c>
    </row>
    <row r="113" spans="1:34">
      <c r="A113">
        <v>112</v>
      </c>
      <c r="B113" t="s">
        <v>7</v>
      </c>
      <c r="C113">
        <v>6</v>
      </c>
      <c r="D113" t="s">
        <v>134</v>
      </c>
      <c r="E113" t="s">
        <v>81</v>
      </c>
      <c r="F113">
        <v>2</v>
      </c>
      <c r="G113" t="s">
        <v>82</v>
      </c>
      <c r="H113" t="s">
        <v>80</v>
      </c>
      <c r="I113" s="2">
        <v>0.5</v>
      </c>
      <c r="J113" t="s">
        <v>82</v>
      </c>
      <c r="K113" t="s">
        <v>79</v>
      </c>
      <c r="L113" t="s">
        <v>14</v>
      </c>
      <c r="M113">
        <v>0</v>
      </c>
      <c r="N113">
        <v>6</v>
      </c>
      <c r="O113" t="s">
        <v>134</v>
      </c>
      <c r="P113" t="s">
        <v>14</v>
      </c>
      <c r="Q113" s="1" t="s">
        <v>68</v>
      </c>
      <c r="R113" t="s">
        <v>68</v>
      </c>
      <c r="S113" t="e">
        <f>IF(T113="","",INDEX('Backing 4'!U:U,MATCH(T113,'Backing 4'!T:T,0)))</f>
        <v>#N/A</v>
      </c>
      <c r="T113" t="str">
        <f t="shared" si="3"/>
        <v xml:space="preserve"> Junior Officer &amp; Operations</v>
      </c>
      <c r="U113" t="e">
        <f>IF(V113="","",INDEX('Backing 4'!Z:Z,MATCH(V113,'Backing 4'!Y:Y,0)))</f>
        <v>#N/A</v>
      </c>
      <c r="V113" t="str">
        <f t="shared" si="4"/>
        <v xml:space="preserve"> Junior Officer</v>
      </c>
      <c r="W113">
        <v>1</v>
      </c>
      <c r="X113" t="str">
        <f>IF(E113="Y","",IF(Y113="Y",INDEX('Backing 2'!B:B,MATCH(D113,'Backing 2'!C:C,0)),D113))</f>
        <v xml:space="preserve"> Junior Officer</v>
      </c>
      <c r="Y113" t="s">
        <v>81</v>
      </c>
      <c r="Z113">
        <v>0</v>
      </c>
      <c r="AA113" t="s">
        <v>69</v>
      </c>
      <c r="AB113">
        <v>27</v>
      </c>
      <c r="AC113" t="s">
        <v>19</v>
      </c>
      <c r="AD113" t="s">
        <v>19</v>
      </c>
      <c r="AE113" t="s">
        <v>19</v>
      </c>
      <c r="AF113" s="3">
        <v>43556</v>
      </c>
      <c r="AG113">
        <v>1</v>
      </c>
      <c r="AH113">
        <f t="shared" ca="1" si="5"/>
        <v>0.16586989579478251</v>
      </c>
    </row>
    <row r="114" spans="1:34">
      <c r="A114">
        <v>113</v>
      </c>
      <c r="B114" t="s">
        <v>8</v>
      </c>
      <c r="C114">
        <v>2</v>
      </c>
      <c r="D114" t="s">
        <v>136</v>
      </c>
      <c r="E114" t="s">
        <v>81</v>
      </c>
      <c r="F114">
        <v>3</v>
      </c>
      <c r="G114" t="s">
        <v>82</v>
      </c>
      <c r="H114" t="s">
        <v>80</v>
      </c>
      <c r="I114" s="2">
        <v>0.5</v>
      </c>
      <c r="J114" t="s">
        <v>82</v>
      </c>
      <c r="K114" t="s">
        <v>79</v>
      </c>
      <c r="L114" t="s">
        <v>17</v>
      </c>
      <c r="M114">
        <v>0</v>
      </c>
      <c r="N114">
        <v>2</v>
      </c>
      <c r="O114" t="s">
        <v>136</v>
      </c>
      <c r="P114" t="s">
        <v>17</v>
      </c>
      <c r="Q114" s="1" t="s">
        <v>68</v>
      </c>
      <c r="R114" t="s">
        <v>68</v>
      </c>
      <c r="S114" t="e">
        <f>IF(T114="","",INDEX('Backing 4'!U:U,MATCH(T114,'Backing 4'!T:T,0)))</f>
        <v>#N/A</v>
      </c>
      <c r="T114" t="str">
        <f t="shared" si="3"/>
        <v xml:space="preserve"> Director &amp; Strategy</v>
      </c>
      <c r="U114" t="s">
        <v>120</v>
      </c>
      <c r="V114" t="str">
        <f t="shared" si="4"/>
        <v xml:space="preserve"> Director</v>
      </c>
      <c r="W114">
        <v>4</v>
      </c>
      <c r="X114" t="str">
        <f>IF(E114="Y","",IF(Y114="Y",INDEX('Backing 2'!B:B,MATCH(D114,'Backing 2'!C:C,0)),D114))</f>
        <v xml:space="preserve"> Director</v>
      </c>
      <c r="Y114" t="s">
        <v>81</v>
      </c>
      <c r="Z114">
        <v>3</v>
      </c>
      <c r="AA114" t="s">
        <v>71</v>
      </c>
      <c r="AB114">
        <v>41</v>
      </c>
      <c r="AC114" t="s">
        <v>19</v>
      </c>
      <c r="AD114" t="s">
        <v>19</v>
      </c>
      <c r="AE114" t="s">
        <v>19</v>
      </c>
      <c r="AF114" s="3">
        <v>41000</v>
      </c>
      <c r="AG114">
        <v>8</v>
      </c>
      <c r="AH114">
        <f t="shared" ca="1" si="5"/>
        <v>0.21491304290251356</v>
      </c>
    </row>
    <row r="115" spans="1:34">
      <c r="A115">
        <v>114</v>
      </c>
      <c r="B115" t="s">
        <v>8</v>
      </c>
      <c r="C115">
        <v>4</v>
      </c>
      <c r="D115" t="s">
        <v>135</v>
      </c>
      <c r="E115" t="s">
        <v>81</v>
      </c>
      <c r="F115">
        <v>3</v>
      </c>
      <c r="G115" t="s">
        <v>82</v>
      </c>
      <c r="H115" t="s">
        <v>80</v>
      </c>
      <c r="I115" s="2">
        <v>0.5</v>
      </c>
      <c r="J115" t="s">
        <v>82</v>
      </c>
      <c r="K115" t="s">
        <v>79</v>
      </c>
      <c r="L115" t="s">
        <v>16</v>
      </c>
      <c r="M115">
        <v>0</v>
      </c>
      <c r="N115">
        <v>4</v>
      </c>
      <c r="O115" t="s">
        <v>135</v>
      </c>
      <c r="P115" t="s">
        <v>16</v>
      </c>
      <c r="Q115" s="1" t="s">
        <v>68</v>
      </c>
      <c r="R115" t="s">
        <v>68</v>
      </c>
      <c r="S115" t="e">
        <f>IF(T115="","",INDEX('Backing 4'!U:U,MATCH(T115,'Backing 4'!T:T,0)))</f>
        <v>#N/A</v>
      </c>
      <c r="T115" t="str">
        <f t="shared" si="3"/>
        <v xml:space="preserve"> Manager &amp; Sales &amp; Marketing</v>
      </c>
      <c r="U115" t="e">
        <f>IF(V115="","",INDEX('Backing 4'!Z:Z,MATCH(V115,'Backing 4'!Y:Y,0)))</f>
        <v>#N/A</v>
      </c>
      <c r="V115" t="str">
        <f t="shared" si="4"/>
        <v xml:space="preserve"> Manager</v>
      </c>
      <c r="W115">
        <v>3</v>
      </c>
      <c r="X115" t="str">
        <f>IF(E115="Y","",IF(Y115="Y",INDEX('Backing 2'!B:B,MATCH(D115,'Backing 2'!C:C,0)),D115))</f>
        <v xml:space="preserve"> Manager</v>
      </c>
      <c r="Y115" t="s">
        <v>81</v>
      </c>
      <c r="Z115">
        <v>3</v>
      </c>
      <c r="AA115" t="s">
        <v>70</v>
      </c>
      <c r="AB115">
        <v>31</v>
      </c>
      <c r="AC115" t="s">
        <v>19</v>
      </c>
      <c r="AD115" t="s">
        <v>19</v>
      </c>
      <c r="AE115" t="s">
        <v>19</v>
      </c>
      <c r="AF115" s="3">
        <v>41365</v>
      </c>
      <c r="AG115">
        <v>7</v>
      </c>
      <c r="AH115">
        <f t="shared" ca="1" si="5"/>
        <v>0.14363137082122435</v>
      </c>
    </row>
    <row r="116" spans="1:34">
      <c r="A116">
        <v>115</v>
      </c>
      <c r="B116" t="s">
        <v>8</v>
      </c>
      <c r="C116">
        <v>2</v>
      </c>
      <c r="D116" s="4" t="s">
        <v>136</v>
      </c>
      <c r="E116" t="s">
        <v>81</v>
      </c>
      <c r="F116">
        <v>3</v>
      </c>
      <c r="G116" t="s">
        <v>82</v>
      </c>
      <c r="H116" t="s">
        <v>82</v>
      </c>
      <c r="I116" s="2">
        <v>0.5</v>
      </c>
      <c r="J116" t="s">
        <v>80</v>
      </c>
      <c r="K116" t="s">
        <v>79</v>
      </c>
      <c r="L116" t="s">
        <v>12</v>
      </c>
      <c r="M116" t="s">
        <v>83</v>
      </c>
      <c r="N116">
        <v>0</v>
      </c>
      <c r="O116" t="s">
        <v>142</v>
      </c>
      <c r="P116" t="s">
        <v>12</v>
      </c>
      <c r="Q116" s="1" t="s">
        <v>68</v>
      </c>
      <c r="R116" t="s">
        <v>68</v>
      </c>
      <c r="S116" t="e">
        <f>IF(T116="","",INDEX('Backing 4'!U:U,MATCH(T116,'Backing 4'!T:T,0)))</f>
        <v>#N/A</v>
      </c>
      <c r="T116" t="str">
        <f t="shared" si="3"/>
        <v xml:space="preserve"> Director &amp; Finance</v>
      </c>
      <c r="U116" t="e">
        <f>IF(V116="","",INDEX('Backing 4'!Z:Z,MATCH(V116,'Backing 4'!Y:Y,0)))</f>
        <v>#N/A</v>
      </c>
      <c r="V116" t="str">
        <f t="shared" si="4"/>
        <v xml:space="preserve"> Director</v>
      </c>
      <c r="W116">
        <v>3</v>
      </c>
      <c r="X116" t="str">
        <f>IF(E116="Y","",IF(Y116="Y",INDEX('Backing 2'!B:B,MATCH(D116,'Backing 2'!C:C,0)),D116))</f>
        <v xml:space="preserve"> Director</v>
      </c>
      <c r="Y116" t="s">
        <v>81</v>
      </c>
      <c r="Z116">
        <v>4</v>
      </c>
      <c r="AA116" t="s">
        <v>71</v>
      </c>
      <c r="AB116">
        <v>49</v>
      </c>
      <c r="AC116" t="s">
        <v>19</v>
      </c>
      <c r="AD116" t="s">
        <v>19</v>
      </c>
      <c r="AE116" t="s">
        <v>19</v>
      </c>
      <c r="AF116" s="3">
        <v>41730</v>
      </c>
      <c r="AG116">
        <v>6</v>
      </c>
      <c r="AH116">
        <f t="shared" ca="1" si="5"/>
        <v>0.67021223984216716</v>
      </c>
    </row>
    <row r="117" spans="1:34">
      <c r="A117">
        <v>116</v>
      </c>
      <c r="B117" t="s">
        <v>8</v>
      </c>
      <c r="C117">
        <v>5</v>
      </c>
      <c r="D117" t="s">
        <v>138</v>
      </c>
      <c r="E117" t="s">
        <v>81</v>
      </c>
      <c r="F117">
        <v>3</v>
      </c>
      <c r="G117" t="s">
        <v>82</v>
      </c>
      <c r="H117" t="s">
        <v>80</v>
      </c>
      <c r="I117" s="2">
        <v>0.5</v>
      </c>
      <c r="J117" t="s">
        <v>82</v>
      </c>
      <c r="K117" t="s">
        <v>79</v>
      </c>
      <c r="L117" t="s">
        <v>16</v>
      </c>
      <c r="M117">
        <v>0</v>
      </c>
      <c r="N117">
        <v>5</v>
      </c>
      <c r="O117" t="s">
        <v>138</v>
      </c>
      <c r="P117" t="s">
        <v>16</v>
      </c>
      <c r="Q117" s="1" t="s">
        <v>68</v>
      </c>
      <c r="R117" t="s">
        <v>68</v>
      </c>
      <c r="S117" t="e">
        <f>IF(T117="","",INDEX('Backing 4'!U:U,MATCH(T117,'Backing 4'!T:T,0)))</f>
        <v>#N/A</v>
      </c>
      <c r="T117" t="str">
        <f t="shared" si="3"/>
        <v xml:space="preserve"> Senior Officer &amp; Sales &amp; Marketing</v>
      </c>
      <c r="U117" t="e">
        <f>IF(V117="","",INDEX('Backing 4'!Z:Z,MATCH(V117,'Backing 4'!Y:Y,0)))</f>
        <v>#N/A</v>
      </c>
      <c r="V117" t="str">
        <f t="shared" si="4"/>
        <v xml:space="preserve"> Senior Officer</v>
      </c>
      <c r="W117">
        <v>2</v>
      </c>
      <c r="X117" t="str">
        <f>IF(E117="Y","",IF(Y117="Y",INDEX('Backing 2'!B:B,MATCH(D117,'Backing 2'!C:C,0)),D117))</f>
        <v xml:space="preserve"> Senior Officer</v>
      </c>
      <c r="Y117" t="s">
        <v>81</v>
      </c>
      <c r="Z117">
        <v>0</v>
      </c>
      <c r="AA117" t="s">
        <v>69</v>
      </c>
      <c r="AB117">
        <v>26</v>
      </c>
      <c r="AC117" t="s">
        <v>31</v>
      </c>
      <c r="AD117" t="s">
        <v>74</v>
      </c>
      <c r="AE117" t="s">
        <v>74</v>
      </c>
      <c r="AF117" s="3">
        <v>43191</v>
      </c>
      <c r="AG117">
        <v>2</v>
      </c>
      <c r="AH117">
        <f t="shared" ca="1" si="5"/>
        <v>0.96836566744599128</v>
      </c>
    </row>
    <row r="118" spans="1:34">
      <c r="A118">
        <v>117</v>
      </c>
      <c r="B118" t="s">
        <v>8</v>
      </c>
      <c r="C118">
        <v>4</v>
      </c>
      <c r="D118" t="s">
        <v>135</v>
      </c>
      <c r="E118" t="s">
        <v>81</v>
      </c>
      <c r="F118">
        <v>2</v>
      </c>
      <c r="G118" t="s">
        <v>82</v>
      </c>
      <c r="H118" t="s">
        <v>80</v>
      </c>
      <c r="I118" s="2">
        <v>0.5</v>
      </c>
      <c r="J118" t="s">
        <v>82</v>
      </c>
      <c r="K118" t="s">
        <v>79</v>
      </c>
      <c r="L118" t="s">
        <v>15</v>
      </c>
      <c r="M118">
        <v>0</v>
      </c>
      <c r="N118">
        <v>4</v>
      </c>
      <c r="O118" t="s">
        <v>135</v>
      </c>
      <c r="P118" t="s">
        <v>15</v>
      </c>
      <c r="Q118" s="1" t="s">
        <v>68</v>
      </c>
      <c r="R118" t="s">
        <v>68</v>
      </c>
      <c r="S118" t="e">
        <f>IF(T118="","",INDEX('Backing 4'!U:U,MATCH(T118,'Backing 4'!T:T,0)))</f>
        <v>#N/A</v>
      </c>
      <c r="T118" t="str">
        <f t="shared" si="3"/>
        <v xml:space="preserve"> Manager &amp; Internal Services</v>
      </c>
      <c r="U118" t="e">
        <f>IF(V118="","",INDEX('Backing 4'!Z:Z,MATCH(V118,'Backing 4'!Y:Y,0)))</f>
        <v>#N/A</v>
      </c>
      <c r="V118" t="str">
        <f t="shared" si="4"/>
        <v xml:space="preserve"> Manager</v>
      </c>
      <c r="W118">
        <v>1</v>
      </c>
      <c r="X118" t="e">
        <f>IF(E118="Y","",IF(Y118="Y",INDEX('Backing 2'!B:B,MATCH(D118,'Backing 2'!C:C,0)),D118))</f>
        <v>#N/A</v>
      </c>
      <c r="Y118" t="s">
        <v>79</v>
      </c>
      <c r="Z118">
        <v>1</v>
      </c>
      <c r="AA118" t="s">
        <v>70</v>
      </c>
      <c r="AB118">
        <v>33</v>
      </c>
      <c r="AC118" t="s">
        <v>31</v>
      </c>
      <c r="AD118" t="s">
        <v>74</v>
      </c>
      <c r="AE118" t="s">
        <v>74</v>
      </c>
      <c r="AF118" s="3">
        <v>41365</v>
      </c>
      <c r="AG118">
        <v>7</v>
      </c>
      <c r="AH118">
        <f t="shared" ca="1" si="5"/>
        <v>0.9365719167643376</v>
      </c>
    </row>
    <row r="119" spans="1:34">
      <c r="A119">
        <v>118</v>
      </c>
      <c r="B119" t="s">
        <v>7</v>
      </c>
      <c r="C119">
        <v>3</v>
      </c>
      <c r="D119" t="s">
        <v>137</v>
      </c>
      <c r="E119" t="s">
        <v>81</v>
      </c>
      <c r="F119">
        <v>0</v>
      </c>
      <c r="G119" t="s">
        <v>82</v>
      </c>
      <c r="H119" t="s">
        <v>82</v>
      </c>
      <c r="I119" s="2">
        <v>0.5</v>
      </c>
      <c r="J119" t="s">
        <v>80</v>
      </c>
      <c r="K119" t="s">
        <v>79</v>
      </c>
      <c r="L119" t="s">
        <v>16</v>
      </c>
      <c r="M119" t="s">
        <v>83</v>
      </c>
      <c r="N119">
        <v>0</v>
      </c>
      <c r="O119" t="s">
        <v>142</v>
      </c>
      <c r="P119" t="s">
        <v>16</v>
      </c>
      <c r="Q119" s="1" t="s">
        <v>68</v>
      </c>
      <c r="R119" t="s">
        <v>68</v>
      </c>
      <c r="S119" t="e">
        <f>IF(T119="","",INDEX('Backing 4'!U:U,MATCH(T119,'Backing 4'!T:T,0)))</f>
        <v>#N/A</v>
      </c>
      <c r="T119" t="str">
        <f t="shared" si="3"/>
        <v xml:space="preserve"> Senior Manager &amp; Sales &amp; Marketing</v>
      </c>
      <c r="U119" t="e">
        <f>IF(V119="","",INDEX('Backing 4'!Z:Z,MATCH(V119,'Backing 4'!Y:Y,0)))</f>
        <v>#N/A</v>
      </c>
      <c r="V119" t="str">
        <f t="shared" si="4"/>
        <v xml:space="preserve"> Senior Manager</v>
      </c>
      <c r="W119">
        <v>2</v>
      </c>
      <c r="X119" t="str">
        <f>IF(E119="Y","",IF(Y119="Y",INDEX('Backing 2'!B:B,MATCH(D119,'Backing 2'!C:C,0)),D119))</f>
        <v xml:space="preserve"> Senior Manager</v>
      </c>
      <c r="Y119" t="s">
        <v>81</v>
      </c>
      <c r="Z119">
        <v>3</v>
      </c>
      <c r="AA119" t="s">
        <v>71</v>
      </c>
      <c r="AB119">
        <v>41</v>
      </c>
      <c r="AC119" t="s">
        <v>19</v>
      </c>
      <c r="AD119" t="s">
        <v>19</v>
      </c>
      <c r="AE119" t="s">
        <v>19</v>
      </c>
      <c r="AF119" s="3">
        <v>41000</v>
      </c>
      <c r="AG119">
        <v>8</v>
      </c>
      <c r="AH119">
        <f t="shared" ca="1" si="5"/>
        <v>0.10446399925177374</v>
      </c>
    </row>
    <row r="120" spans="1:34">
      <c r="A120">
        <v>119</v>
      </c>
      <c r="B120" t="s">
        <v>7</v>
      </c>
      <c r="C120">
        <v>6</v>
      </c>
      <c r="D120" t="s">
        <v>134</v>
      </c>
      <c r="E120" t="s">
        <v>81</v>
      </c>
      <c r="F120">
        <v>2</v>
      </c>
      <c r="G120" t="s">
        <v>82</v>
      </c>
      <c r="H120" t="s">
        <v>80</v>
      </c>
      <c r="I120" s="2">
        <v>0.5</v>
      </c>
      <c r="J120" t="s">
        <v>82</v>
      </c>
      <c r="K120" t="s">
        <v>79</v>
      </c>
      <c r="L120" t="s">
        <v>14</v>
      </c>
      <c r="M120">
        <v>0</v>
      </c>
      <c r="N120">
        <v>6</v>
      </c>
      <c r="O120" t="s">
        <v>134</v>
      </c>
      <c r="P120" t="s">
        <v>14</v>
      </c>
      <c r="Q120" s="1">
        <v>0.8</v>
      </c>
      <c r="R120" t="s">
        <v>67</v>
      </c>
      <c r="S120" t="e">
        <f>IF(T120="","",INDEX('Backing 4'!U:U,MATCH(T120,'Backing 4'!T:T,0)))</f>
        <v>#N/A</v>
      </c>
      <c r="T120" t="str">
        <f t="shared" si="3"/>
        <v xml:space="preserve"> Junior Officer &amp; Operations</v>
      </c>
      <c r="U120" t="e">
        <f>IF(V120="","",INDEX('Backing 4'!Z:Z,MATCH(V120,'Backing 4'!Y:Y,0)))</f>
        <v>#N/A</v>
      </c>
      <c r="V120" t="str">
        <f t="shared" si="4"/>
        <v xml:space="preserve"> Junior Officer</v>
      </c>
      <c r="W120">
        <v>1</v>
      </c>
      <c r="X120" t="str">
        <f>IF(E120="Y","",IF(Y120="Y",INDEX('Backing 2'!B:B,MATCH(D120,'Backing 2'!C:C,0)),D120))</f>
        <v xml:space="preserve"> Junior Officer</v>
      </c>
      <c r="Y120" t="s">
        <v>81</v>
      </c>
      <c r="Z120">
        <v>0</v>
      </c>
      <c r="AA120" t="s">
        <v>69</v>
      </c>
      <c r="AB120">
        <v>22</v>
      </c>
      <c r="AC120" t="s">
        <v>31</v>
      </c>
      <c r="AD120" t="s">
        <v>74</v>
      </c>
      <c r="AE120" t="s">
        <v>74</v>
      </c>
      <c r="AF120" s="3">
        <v>43556</v>
      </c>
      <c r="AG120">
        <v>1</v>
      </c>
      <c r="AH120">
        <f t="shared" ca="1" si="5"/>
        <v>0.86315053575522316</v>
      </c>
    </row>
    <row r="121" spans="1:34">
      <c r="A121">
        <v>120</v>
      </c>
      <c r="B121" t="s">
        <v>8</v>
      </c>
      <c r="C121">
        <v>5</v>
      </c>
      <c r="D121" t="s">
        <v>138</v>
      </c>
      <c r="E121" t="s">
        <v>81</v>
      </c>
      <c r="F121">
        <v>2</v>
      </c>
      <c r="G121" t="s">
        <v>80</v>
      </c>
      <c r="H121" t="s">
        <v>80</v>
      </c>
      <c r="I121" s="2">
        <v>0.5</v>
      </c>
      <c r="J121" t="s">
        <v>82</v>
      </c>
      <c r="K121" t="s">
        <v>79</v>
      </c>
      <c r="L121" t="s">
        <v>16</v>
      </c>
      <c r="M121">
        <v>0</v>
      </c>
      <c r="N121">
        <v>4</v>
      </c>
      <c r="O121" t="s">
        <v>135</v>
      </c>
      <c r="P121" t="s">
        <v>16</v>
      </c>
      <c r="Q121" s="1" t="s">
        <v>68</v>
      </c>
      <c r="R121" t="s">
        <v>68</v>
      </c>
      <c r="S121" t="e">
        <f>IF(T121="","",INDEX('Backing 4'!U:U,MATCH(T121,'Backing 4'!T:T,0)))</f>
        <v>#N/A</v>
      </c>
      <c r="T121" t="str">
        <f t="shared" si="3"/>
        <v xml:space="preserve"> Senior Officer &amp; Sales &amp; Marketing</v>
      </c>
      <c r="U121" t="e">
        <f>IF(V121="","",INDEX('Backing 4'!Z:Z,MATCH(V121,'Backing 4'!Y:Y,0)))</f>
        <v>#N/A</v>
      </c>
      <c r="V121" t="str">
        <f t="shared" si="4"/>
        <v xml:space="preserve"> Senior Officer</v>
      </c>
      <c r="W121">
        <v>4</v>
      </c>
      <c r="X121" t="str">
        <f>IF(E121="Y","",IF(Y121="Y",INDEX('Backing 2'!B:B,MATCH(D121,'Backing 2'!C:C,0)),D121))</f>
        <v xml:space="preserve"> Senior Officer</v>
      </c>
      <c r="Y121" t="s">
        <v>81</v>
      </c>
      <c r="Z121">
        <v>3</v>
      </c>
      <c r="AA121" t="s">
        <v>70</v>
      </c>
      <c r="AB121">
        <v>34</v>
      </c>
      <c r="AC121" t="s">
        <v>19</v>
      </c>
      <c r="AD121" t="s">
        <v>19</v>
      </c>
      <c r="AE121" t="s">
        <v>19</v>
      </c>
      <c r="AF121" s="3">
        <v>41730</v>
      </c>
      <c r="AG121">
        <v>6</v>
      </c>
      <c r="AH121">
        <f t="shared" ca="1" si="5"/>
        <v>0.50289542445427704</v>
      </c>
    </row>
    <row r="122" spans="1:34">
      <c r="A122">
        <v>121</v>
      </c>
      <c r="B122" t="s">
        <v>8</v>
      </c>
      <c r="C122">
        <v>6</v>
      </c>
      <c r="D122" s="4" t="s">
        <v>134</v>
      </c>
      <c r="E122" t="s">
        <v>81</v>
      </c>
      <c r="F122">
        <v>3</v>
      </c>
      <c r="G122" t="s">
        <v>82</v>
      </c>
      <c r="H122" t="s">
        <v>82</v>
      </c>
      <c r="I122" s="2">
        <v>0.5</v>
      </c>
      <c r="J122" t="s">
        <v>80</v>
      </c>
      <c r="K122" t="s">
        <v>79</v>
      </c>
      <c r="L122" t="s">
        <v>14</v>
      </c>
      <c r="M122" t="s">
        <v>83</v>
      </c>
      <c r="N122">
        <v>0</v>
      </c>
      <c r="O122" t="s">
        <v>142</v>
      </c>
      <c r="P122" t="s">
        <v>14</v>
      </c>
      <c r="Q122" s="1" t="s">
        <v>68</v>
      </c>
      <c r="R122" t="s">
        <v>68</v>
      </c>
      <c r="S122" t="e">
        <f>IF(T122="","",INDEX('Backing 4'!U:U,MATCH(T122,'Backing 4'!T:T,0)))</f>
        <v>#N/A</v>
      </c>
      <c r="T122" t="str">
        <f t="shared" si="3"/>
        <v xml:space="preserve"> Junior Officer &amp; Operations</v>
      </c>
      <c r="U122" t="e">
        <f>IF(V122="","",INDEX('Backing 4'!Z:Z,MATCH(V122,'Backing 4'!Y:Y,0)))</f>
        <v>#N/A</v>
      </c>
      <c r="V122" t="str">
        <f t="shared" si="4"/>
        <v xml:space="preserve"> Junior Officer</v>
      </c>
      <c r="W122">
        <v>3</v>
      </c>
      <c r="X122" t="str">
        <f>IF(E122="Y","",IF(Y122="Y",INDEX('Backing 2'!B:B,MATCH(D122,'Backing 2'!C:C,0)),D122))</f>
        <v xml:space="preserve"> Junior Officer</v>
      </c>
      <c r="Y122" t="s">
        <v>81</v>
      </c>
      <c r="Z122">
        <v>3</v>
      </c>
      <c r="AA122" t="s">
        <v>71</v>
      </c>
      <c r="AB122">
        <v>46</v>
      </c>
      <c r="AC122" t="s">
        <v>19</v>
      </c>
      <c r="AD122" t="s">
        <v>19</v>
      </c>
      <c r="AE122" t="s">
        <v>19</v>
      </c>
      <c r="AF122" s="3">
        <v>42826</v>
      </c>
      <c r="AG122">
        <v>3</v>
      </c>
      <c r="AH122">
        <f t="shared" ca="1" si="5"/>
        <v>0.58310136805527202</v>
      </c>
    </row>
    <row r="123" spans="1:34">
      <c r="A123">
        <v>122</v>
      </c>
      <c r="B123" t="s">
        <v>8</v>
      </c>
      <c r="C123">
        <v>3</v>
      </c>
      <c r="D123" t="s">
        <v>137</v>
      </c>
      <c r="E123" t="s">
        <v>81</v>
      </c>
      <c r="F123">
        <v>2</v>
      </c>
      <c r="G123" t="s">
        <v>82</v>
      </c>
      <c r="H123" t="s">
        <v>80</v>
      </c>
      <c r="I123" s="2">
        <v>0.5</v>
      </c>
      <c r="J123" t="s">
        <v>82</v>
      </c>
      <c r="K123" t="s">
        <v>79</v>
      </c>
      <c r="L123" t="s">
        <v>16</v>
      </c>
      <c r="M123">
        <v>0</v>
      </c>
      <c r="N123">
        <v>3</v>
      </c>
      <c r="O123" t="s">
        <v>137</v>
      </c>
      <c r="P123" t="s">
        <v>16</v>
      </c>
      <c r="Q123" s="1" t="s">
        <v>68</v>
      </c>
      <c r="R123" t="s">
        <v>68</v>
      </c>
      <c r="S123" t="e">
        <f>IF(T123="","",INDEX('Backing 4'!U:U,MATCH(T123,'Backing 4'!T:T,0)))</f>
        <v>#N/A</v>
      </c>
      <c r="T123" t="str">
        <f t="shared" si="3"/>
        <v xml:space="preserve"> Senior Manager &amp; Sales &amp; Marketing</v>
      </c>
      <c r="U123" t="e">
        <f>IF(V123="","",INDEX('Backing 4'!Z:Z,MATCH(V123,'Backing 4'!Y:Y,0)))</f>
        <v>#N/A</v>
      </c>
      <c r="V123" t="str">
        <f t="shared" si="4"/>
        <v xml:space="preserve"> Senior Manager</v>
      </c>
      <c r="W123">
        <v>4</v>
      </c>
      <c r="X123" t="str">
        <f>IF(E123="Y","",IF(Y123="Y",INDEX('Backing 2'!B:B,MATCH(D123,'Backing 2'!C:C,0)),D123))</f>
        <v xml:space="preserve"> Senior Manager</v>
      </c>
      <c r="Y123" t="s">
        <v>81</v>
      </c>
      <c r="Z123">
        <v>2</v>
      </c>
      <c r="AA123" t="s">
        <v>70</v>
      </c>
      <c r="AB123">
        <v>35</v>
      </c>
      <c r="AC123" t="s">
        <v>19</v>
      </c>
      <c r="AD123" t="s">
        <v>19</v>
      </c>
      <c r="AE123" t="s">
        <v>19</v>
      </c>
      <c r="AF123" s="3">
        <v>42095</v>
      </c>
      <c r="AG123">
        <v>5</v>
      </c>
      <c r="AH123">
        <f t="shared" ca="1" si="5"/>
        <v>0.6610369658368167</v>
      </c>
    </row>
    <row r="124" spans="1:34">
      <c r="A124">
        <v>123</v>
      </c>
      <c r="B124" t="s">
        <v>7</v>
      </c>
      <c r="C124">
        <v>6</v>
      </c>
      <c r="D124" t="s">
        <v>134</v>
      </c>
      <c r="E124" t="s">
        <v>81</v>
      </c>
      <c r="F124">
        <v>3</v>
      </c>
      <c r="G124" t="s">
        <v>82</v>
      </c>
      <c r="H124" t="s">
        <v>80</v>
      </c>
      <c r="I124" s="2">
        <v>0.5</v>
      </c>
      <c r="J124" t="s">
        <v>82</v>
      </c>
      <c r="K124" t="s">
        <v>79</v>
      </c>
      <c r="L124" t="s">
        <v>16</v>
      </c>
      <c r="M124">
        <v>0</v>
      </c>
      <c r="N124">
        <v>6</v>
      </c>
      <c r="O124" t="s">
        <v>134</v>
      </c>
      <c r="P124" t="s">
        <v>16</v>
      </c>
      <c r="Q124" s="1" t="s">
        <v>68</v>
      </c>
      <c r="R124" t="s">
        <v>68</v>
      </c>
      <c r="S124" t="e">
        <f>IF(T124="","",INDEX('Backing 4'!U:U,MATCH(T124,'Backing 4'!T:T,0)))</f>
        <v>#N/A</v>
      </c>
      <c r="T124" t="str">
        <f t="shared" si="3"/>
        <v xml:space="preserve"> Junior Officer &amp; Sales &amp; Marketing</v>
      </c>
      <c r="U124" t="e">
        <f>IF(V124="","",INDEX('Backing 4'!Z:Z,MATCH(V124,'Backing 4'!Y:Y,0)))</f>
        <v>#N/A</v>
      </c>
      <c r="V124" t="str">
        <f t="shared" si="4"/>
        <v xml:space="preserve"> Junior Officer</v>
      </c>
      <c r="W124">
        <v>2</v>
      </c>
      <c r="X124" t="str">
        <f>IF(E124="Y","",IF(Y124="Y",INDEX('Backing 2'!B:B,MATCH(D124,'Backing 2'!C:C,0)),D124))</f>
        <v xml:space="preserve"> Junior Officer</v>
      </c>
      <c r="Y124" t="s">
        <v>81</v>
      </c>
      <c r="Z124">
        <v>2</v>
      </c>
      <c r="AA124" t="s">
        <v>70</v>
      </c>
      <c r="AB124">
        <v>30</v>
      </c>
      <c r="AC124" t="s">
        <v>24</v>
      </c>
      <c r="AD124" t="s">
        <v>77</v>
      </c>
      <c r="AE124" t="s">
        <v>78</v>
      </c>
      <c r="AF124" s="3">
        <v>43191</v>
      </c>
      <c r="AG124">
        <v>2</v>
      </c>
      <c r="AH124">
        <f t="shared" ca="1" si="5"/>
        <v>0.66001987209828694</v>
      </c>
    </row>
    <row r="125" spans="1:34">
      <c r="A125">
        <v>124</v>
      </c>
      <c r="B125" t="s">
        <v>7</v>
      </c>
      <c r="C125">
        <v>6</v>
      </c>
      <c r="D125" t="s">
        <v>134</v>
      </c>
      <c r="E125" t="s">
        <v>81</v>
      </c>
      <c r="F125">
        <v>2</v>
      </c>
      <c r="G125" t="s">
        <v>82</v>
      </c>
      <c r="H125" t="s">
        <v>80</v>
      </c>
      <c r="I125" s="2">
        <v>0.5</v>
      </c>
      <c r="J125" t="s">
        <v>82</v>
      </c>
      <c r="K125" t="s">
        <v>79</v>
      </c>
      <c r="L125" t="s">
        <v>14</v>
      </c>
      <c r="M125">
        <v>0</v>
      </c>
      <c r="N125">
        <v>6</v>
      </c>
      <c r="O125" t="s">
        <v>134</v>
      </c>
      <c r="P125" t="s">
        <v>14</v>
      </c>
      <c r="Q125" s="1" t="s">
        <v>68</v>
      </c>
      <c r="R125" t="s">
        <v>68</v>
      </c>
      <c r="S125" t="e">
        <f>IF(T125="","",INDEX('Backing 4'!U:U,MATCH(T125,'Backing 4'!T:T,0)))</f>
        <v>#N/A</v>
      </c>
      <c r="T125" t="str">
        <f t="shared" si="3"/>
        <v xml:space="preserve"> Junior Officer &amp; Operations</v>
      </c>
      <c r="U125" t="e">
        <f>IF(V125="","",INDEX('Backing 4'!Z:Z,MATCH(V125,'Backing 4'!Y:Y,0)))</f>
        <v>#N/A</v>
      </c>
      <c r="V125" t="str">
        <f t="shared" si="4"/>
        <v xml:space="preserve"> Junior Officer</v>
      </c>
      <c r="W125">
        <v>2</v>
      </c>
      <c r="X125" t="str">
        <f>IF(E125="Y","",IF(Y125="Y",INDEX('Backing 2'!B:B,MATCH(D125,'Backing 2'!C:C,0)),D125))</f>
        <v xml:space="preserve"> Junior Officer</v>
      </c>
      <c r="Y125" t="s">
        <v>81</v>
      </c>
      <c r="Z125">
        <v>3</v>
      </c>
      <c r="AA125" t="s">
        <v>69</v>
      </c>
      <c r="AB125">
        <v>23</v>
      </c>
      <c r="AC125" t="s">
        <v>19</v>
      </c>
      <c r="AD125" t="s">
        <v>19</v>
      </c>
      <c r="AE125" t="s">
        <v>19</v>
      </c>
      <c r="AF125" s="3">
        <v>43191</v>
      </c>
      <c r="AG125">
        <v>2</v>
      </c>
      <c r="AH125">
        <f t="shared" ca="1" si="5"/>
        <v>0.66658284560916581</v>
      </c>
    </row>
    <row r="126" spans="1:34">
      <c r="A126">
        <v>125</v>
      </c>
      <c r="B126" t="s">
        <v>8</v>
      </c>
      <c r="C126">
        <v>3</v>
      </c>
      <c r="D126" t="s">
        <v>137</v>
      </c>
      <c r="E126" t="s">
        <v>79</v>
      </c>
      <c r="F126">
        <v>0</v>
      </c>
      <c r="G126" t="s">
        <v>82</v>
      </c>
      <c r="H126" t="s">
        <v>82</v>
      </c>
      <c r="I126" s="2">
        <v>0.5</v>
      </c>
      <c r="J126" t="s">
        <v>82</v>
      </c>
      <c r="K126" t="s">
        <v>81</v>
      </c>
      <c r="L126" t="s">
        <v>14</v>
      </c>
      <c r="M126">
        <v>0</v>
      </c>
      <c r="N126">
        <v>3</v>
      </c>
      <c r="O126" t="s">
        <v>137</v>
      </c>
      <c r="P126" t="s">
        <v>14</v>
      </c>
      <c r="Q126" s="1" t="s">
        <v>68</v>
      </c>
      <c r="R126" t="s">
        <v>68</v>
      </c>
      <c r="S126" t="e">
        <f>IF(T126="","",INDEX('Backing 4'!U:U,MATCH(T126,'Backing 4'!T:T,0)))</f>
        <v>#N/A</v>
      </c>
      <c r="T126" t="str">
        <f t="shared" si="3"/>
        <v xml:space="preserve"> Senior Manager &amp; Operations</v>
      </c>
      <c r="U126" t="e">
        <f>IF(V126="","",INDEX('Backing 4'!Z:Z,MATCH(V126,'Backing 4'!Y:Y,0)))</f>
        <v>#N/A</v>
      </c>
      <c r="V126" t="str">
        <f t="shared" si="4"/>
        <v xml:space="preserve"> Senior Manager</v>
      </c>
      <c r="W126">
        <v>0</v>
      </c>
      <c r="X126" t="str">
        <f>IF(E126="Y","",IF(Y126="Y",INDEX('Backing 2'!B:B,MATCH(D126,'Backing 2'!C:C,0)),D126))</f>
        <v/>
      </c>
      <c r="Y126" t="s">
        <v>81</v>
      </c>
      <c r="Z126">
        <v>0</v>
      </c>
      <c r="AA126" t="s">
        <v>70</v>
      </c>
      <c r="AB126">
        <v>38</v>
      </c>
      <c r="AC126" t="s">
        <v>19</v>
      </c>
      <c r="AD126" t="s">
        <v>19</v>
      </c>
      <c r="AE126" t="s">
        <v>19</v>
      </c>
      <c r="AF126" s="3">
        <v>43922</v>
      </c>
      <c r="AG126">
        <v>0</v>
      </c>
      <c r="AH126">
        <f t="shared" ca="1" si="5"/>
        <v>0.36909299153391595</v>
      </c>
    </row>
    <row r="127" spans="1:34">
      <c r="A127">
        <v>126</v>
      </c>
      <c r="B127" t="s">
        <v>7</v>
      </c>
      <c r="C127">
        <v>6</v>
      </c>
      <c r="D127" t="s">
        <v>134</v>
      </c>
      <c r="E127" t="s">
        <v>79</v>
      </c>
      <c r="F127">
        <v>0</v>
      </c>
      <c r="G127" t="s">
        <v>82</v>
      </c>
      <c r="H127" t="s">
        <v>82</v>
      </c>
      <c r="I127" s="2">
        <v>0.5</v>
      </c>
      <c r="J127" t="s">
        <v>82</v>
      </c>
      <c r="K127" t="s">
        <v>81</v>
      </c>
      <c r="L127" t="s">
        <v>15</v>
      </c>
      <c r="M127">
        <v>0</v>
      </c>
      <c r="N127">
        <v>6</v>
      </c>
      <c r="O127" t="s">
        <v>134</v>
      </c>
      <c r="P127" t="s">
        <v>15</v>
      </c>
      <c r="Q127" s="1">
        <v>0.8</v>
      </c>
      <c r="R127" t="s">
        <v>67</v>
      </c>
      <c r="S127" t="e">
        <f>IF(T127="","",INDEX('Backing 4'!U:U,MATCH(T127,'Backing 4'!T:T,0)))</f>
        <v>#N/A</v>
      </c>
      <c r="T127" t="str">
        <f t="shared" si="3"/>
        <v xml:space="preserve"> Junior Officer &amp; Internal Services</v>
      </c>
      <c r="U127" t="e">
        <f>IF(V127="","",INDEX('Backing 4'!Z:Z,MATCH(V127,'Backing 4'!Y:Y,0)))</f>
        <v>#N/A</v>
      </c>
      <c r="V127" t="str">
        <f t="shared" si="4"/>
        <v xml:space="preserve"> Junior Officer</v>
      </c>
      <c r="W127">
        <v>0</v>
      </c>
      <c r="X127" t="str">
        <f>IF(E127="Y","",IF(Y127="Y",INDEX('Backing 2'!B:B,MATCH(D127,'Backing 2'!C:C,0)),D127))</f>
        <v/>
      </c>
      <c r="Y127" t="s">
        <v>81</v>
      </c>
      <c r="Z127">
        <v>0</v>
      </c>
      <c r="AA127" t="s">
        <v>69</v>
      </c>
      <c r="AB127">
        <v>22</v>
      </c>
      <c r="AC127" t="s">
        <v>30</v>
      </c>
      <c r="AD127" t="s">
        <v>74</v>
      </c>
      <c r="AE127" t="s">
        <v>74</v>
      </c>
      <c r="AF127" s="3">
        <v>43922</v>
      </c>
      <c r="AG127">
        <v>0</v>
      </c>
      <c r="AH127">
        <f t="shared" ca="1" si="5"/>
        <v>0.24214414706909582</v>
      </c>
    </row>
    <row r="128" spans="1:34">
      <c r="A128">
        <v>127</v>
      </c>
      <c r="B128" t="s">
        <v>8</v>
      </c>
      <c r="C128">
        <v>1</v>
      </c>
      <c r="D128" t="s">
        <v>139</v>
      </c>
      <c r="E128" t="s">
        <v>81</v>
      </c>
      <c r="F128">
        <v>0</v>
      </c>
      <c r="G128" t="s">
        <v>82</v>
      </c>
      <c r="H128" t="s">
        <v>82</v>
      </c>
      <c r="I128" s="2">
        <v>0.5</v>
      </c>
      <c r="J128" t="s">
        <v>82</v>
      </c>
      <c r="K128" t="s">
        <v>79</v>
      </c>
      <c r="L128" t="s">
        <v>12</v>
      </c>
      <c r="M128">
        <v>0</v>
      </c>
      <c r="N128">
        <v>1</v>
      </c>
      <c r="O128" t="s">
        <v>139</v>
      </c>
      <c r="P128" t="s">
        <v>12</v>
      </c>
      <c r="Q128" s="1" t="s">
        <v>68</v>
      </c>
      <c r="R128" t="s">
        <v>68</v>
      </c>
      <c r="S128" t="e">
        <f>IF(T128="","",INDEX('Backing 4'!U:U,MATCH(T128,'Backing 4'!T:T,0)))</f>
        <v>#N/A</v>
      </c>
      <c r="T128" t="str">
        <f t="shared" si="3"/>
        <v xml:space="preserve"> Executive &amp; Finance</v>
      </c>
      <c r="U128" t="e">
        <f>IF(V128="","",INDEX('Backing 4'!Z:Z,MATCH(V128,'Backing 4'!Y:Y,0)))</f>
        <v>#N/A</v>
      </c>
      <c r="V128" t="str">
        <f t="shared" si="4"/>
        <v xml:space="preserve"> Executive</v>
      </c>
      <c r="W128">
        <v>2</v>
      </c>
      <c r="X128" t="str">
        <f>IF(E128="Y","",IF(Y128="Y",INDEX('Backing 2'!B:B,MATCH(D128,'Backing 2'!C:C,0)),D128))</f>
        <v xml:space="preserve"> Executive</v>
      </c>
      <c r="Y128" t="s">
        <v>81</v>
      </c>
      <c r="Z128">
        <v>3</v>
      </c>
      <c r="AA128" t="s">
        <v>72</v>
      </c>
      <c r="AB128">
        <v>55</v>
      </c>
      <c r="AC128" t="s">
        <v>19</v>
      </c>
      <c r="AD128" t="s">
        <v>19</v>
      </c>
      <c r="AE128" t="s">
        <v>19</v>
      </c>
      <c r="AF128" s="3">
        <v>42826</v>
      </c>
      <c r="AG128">
        <v>3</v>
      </c>
      <c r="AH128">
        <f t="shared" ca="1" si="5"/>
        <v>0.72835361090444051</v>
      </c>
    </row>
    <row r="129" spans="1:34">
      <c r="A129">
        <v>128</v>
      </c>
      <c r="B129" t="s">
        <v>8</v>
      </c>
      <c r="C129">
        <v>1</v>
      </c>
      <c r="D129" t="s">
        <v>139</v>
      </c>
      <c r="E129" t="s">
        <v>81</v>
      </c>
      <c r="F129">
        <v>0</v>
      </c>
      <c r="G129" t="s">
        <v>82</v>
      </c>
      <c r="H129" t="s">
        <v>82</v>
      </c>
      <c r="I129" s="2">
        <v>0.5</v>
      </c>
      <c r="J129" t="s">
        <v>82</v>
      </c>
      <c r="K129" t="s">
        <v>79</v>
      </c>
      <c r="L129" t="s">
        <v>17</v>
      </c>
      <c r="M129">
        <v>0</v>
      </c>
      <c r="N129">
        <v>1</v>
      </c>
      <c r="O129" t="s">
        <v>139</v>
      </c>
      <c r="P129" t="s">
        <v>17</v>
      </c>
      <c r="Q129" s="1" t="s">
        <v>68</v>
      </c>
      <c r="R129" t="s">
        <v>68</v>
      </c>
      <c r="S129" t="e">
        <f>IF(T129="","",INDEX('Backing 4'!U:U,MATCH(T129,'Backing 4'!T:T,0)))</f>
        <v>#N/A</v>
      </c>
      <c r="T129" t="str">
        <f t="shared" si="3"/>
        <v xml:space="preserve"> Executive &amp; Strategy</v>
      </c>
      <c r="U129" t="e">
        <f>IF(V129="","",INDEX('Backing 4'!Z:Z,MATCH(V129,'Backing 4'!Y:Y,0)))</f>
        <v>#N/A</v>
      </c>
      <c r="V129" t="str">
        <f t="shared" si="4"/>
        <v xml:space="preserve"> Executive</v>
      </c>
      <c r="W129">
        <v>3</v>
      </c>
      <c r="X129" t="str">
        <f>IF(E129="Y","",IF(Y129="Y",INDEX('Backing 2'!B:B,MATCH(D129,'Backing 2'!C:C,0)),D129))</f>
        <v xml:space="preserve"> Executive</v>
      </c>
      <c r="Y129" t="s">
        <v>81</v>
      </c>
      <c r="Z129">
        <v>2</v>
      </c>
      <c r="AA129" t="s">
        <v>71</v>
      </c>
      <c r="AB129">
        <v>42</v>
      </c>
      <c r="AC129" t="s">
        <v>19</v>
      </c>
      <c r="AD129" t="s">
        <v>19</v>
      </c>
      <c r="AE129" t="s">
        <v>19</v>
      </c>
      <c r="AF129" s="3">
        <v>42826</v>
      </c>
      <c r="AG129">
        <v>3</v>
      </c>
      <c r="AH129">
        <f t="shared" ca="1" si="5"/>
        <v>0.10485435266107168</v>
      </c>
    </row>
    <row r="130" spans="1:34">
      <c r="A130">
        <v>129</v>
      </c>
      <c r="B130" t="s">
        <v>8</v>
      </c>
      <c r="C130">
        <v>6</v>
      </c>
      <c r="D130" t="s">
        <v>134</v>
      </c>
      <c r="E130" t="s">
        <v>81</v>
      </c>
      <c r="F130">
        <v>2</v>
      </c>
      <c r="G130" t="s">
        <v>82</v>
      </c>
      <c r="H130" t="s">
        <v>80</v>
      </c>
      <c r="I130" s="2">
        <v>0.5</v>
      </c>
      <c r="J130" t="s">
        <v>82</v>
      </c>
      <c r="K130" t="s">
        <v>79</v>
      </c>
      <c r="L130" t="s">
        <v>14</v>
      </c>
      <c r="M130">
        <v>0</v>
      </c>
      <c r="N130">
        <v>6</v>
      </c>
      <c r="O130" t="s">
        <v>134</v>
      </c>
      <c r="P130" t="s">
        <v>14</v>
      </c>
      <c r="Q130" s="1" t="s">
        <v>68</v>
      </c>
      <c r="R130" t="s">
        <v>68</v>
      </c>
      <c r="S130" t="e">
        <f>IF(T130="","",INDEX('Backing 4'!U:U,MATCH(T130,'Backing 4'!T:T,0)))</f>
        <v>#N/A</v>
      </c>
      <c r="T130" t="str">
        <f t="shared" ref="T130:T193" si="6">IF(O130="","",IF(D130="1 - Executive","",D130&amp;" &amp; "&amp;P130))</f>
        <v xml:space="preserve"> Junior Officer &amp; Operations</v>
      </c>
      <c r="U130" t="e">
        <f>IF(V130="","",INDEX('Backing 4'!Z:Z,MATCH(V130,'Backing 4'!Y:Y,0)))</f>
        <v>#N/A</v>
      </c>
      <c r="V130" t="str">
        <f t="shared" ref="V130:V193" si="7">IF(O130="","",IF(D130="1 - Executive","",D130))</f>
        <v xml:space="preserve"> Junior Officer</v>
      </c>
      <c r="W130">
        <v>4</v>
      </c>
      <c r="X130" t="str">
        <f>IF(E130="Y","",IF(Y130="Y",INDEX('Backing 2'!B:B,MATCH(D130,'Backing 2'!C:C,0)),D130))</f>
        <v xml:space="preserve"> Junior Officer</v>
      </c>
      <c r="Y130" t="s">
        <v>81</v>
      </c>
      <c r="Z130">
        <v>3</v>
      </c>
      <c r="AA130" t="s">
        <v>69</v>
      </c>
      <c r="AB130">
        <v>22</v>
      </c>
      <c r="AC130" t="s">
        <v>19</v>
      </c>
      <c r="AD130" t="s">
        <v>19</v>
      </c>
      <c r="AE130" t="s">
        <v>19</v>
      </c>
      <c r="AF130" s="3">
        <v>42461</v>
      </c>
      <c r="AG130">
        <v>4</v>
      </c>
      <c r="AH130">
        <f t="shared" ref="AH130:AH193" ca="1" si="8">RAND()</f>
        <v>0.34963526841635562</v>
      </c>
    </row>
    <row r="131" spans="1:34">
      <c r="A131">
        <v>130</v>
      </c>
      <c r="B131" t="s">
        <v>7</v>
      </c>
      <c r="C131">
        <v>6</v>
      </c>
      <c r="D131" t="s">
        <v>134</v>
      </c>
      <c r="E131" t="s">
        <v>81</v>
      </c>
      <c r="F131">
        <v>2</v>
      </c>
      <c r="G131" t="s">
        <v>82</v>
      </c>
      <c r="H131" t="s">
        <v>80</v>
      </c>
      <c r="I131" s="2">
        <v>0.5</v>
      </c>
      <c r="J131" t="s">
        <v>82</v>
      </c>
      <c r="K131" t="s">
        <v>79</v>
      </c>
      <c r="L131" t="s">
        <v>16</v>
      </c>
      <c r="M131">
        <v>0</v>
      </c>
      <c r="N131">
        <v>6</v>
      </c>
      <c r="O131" t="s">
        <v>134</v>
      </c>
      <c r="P131" t="s">
        <v>16</v>
      </c>
      <c r="Q131" s="1" t="s">
        <v>68</v>
      </c>
      <c r="R131" t="s">
        <v>68</v>
      </c>
      <c r="S131" t="e">
        <f>IF(T131="","",INDEX('Backing 4'!U:U,MATCH(T131,'Backing 4'!T:T,0)))</f>
        <v>#N/A</v>
      </c>
      <c r="T131" t="str">
        <f t="shared" si="6"/>
        <v xml:space="preserve"> Junior Officer &amp; Sales &amp; Marketing</v>
      </c>
      <c r="U131" t="e">
        <f>IF(V131="","",INDEX('Backing 4'!Z:Z,MATCH(V131,'Backing 4'!Y:Y,0)))</f>
        <v>#N/A</v>
      </c>
      <c r="V131" t="str">
        <f t="shared" si="7"/>
        <v xml:space="preserve"> Junior Officer</v>
      </c>
      <c r="W131">
        <v>2</v>
      </c>
      <c r="X131" t="str">
        <f>IF(E131="Y","",IF(Y131="Y",INDEX('Backing 2'!B:B,MATCH(D131,'Backing 2'!C:C,0)),D131))</f>
        <v xml:space="preserve"> Junior Officer</v>
      </c>
      <c r="Y131" t="s">
        <v>81</v>
      </c>
      <c r="Z131">
        <v>2</v>
      </c>
      <c r="AA131" t="s">
        <v>69</v>
      </c>
      <c r="AB131">
        <v>24</v>
      </c>
      <c r="AC131" t="s">
        <v>30</v>
      </c>
      <c r="AD131" t="s">
        <v>74</v>
      </c>
      <c r="AE131" t="s">
        <v>74</v>
      </c>
      <c r="AF131" s="3">
        <v>43191</v>
      </c>
      <c r="AG131">
        <v>2</v>
      </c>
      <c r="AH131">
        <f t="shared" ca="1" si="8"/>
        <v>0.45894734740247478</v>
      </c>
    </row>
    <row r="132" spans="1:34">
      <c r="A132">
        <v>131</v>
      </c>
      <c r="B132" t="s">
        <v>8</v>
      </c>
      <c r="C132">
        <v>6</v>
      </c>
      <c r="D132" t="s">
        <v>134</v>
      </c>
      <c r="E132" t="s">
        <v>81</v>
      </c>
      <c r="F132">
        <v>2</v>
      </c>
      <c r="G132" t="s">
        <v>82</v>
      </c>
      <c r="H132" t="s">
        <v>80</v>
      </c>
      <c r="I132" s="2">
        <v>0.5</v>
      </c>
      <c r="J132" t="s">
        <v>82</v>
      </c>
      <c r="K132" t="s">
        <v>79</v>
      </c>
      <c r="L132" t="s">
        <v>16</v>
      </c>
      <c r="M132">
        <v>0</v>
      </c>
      <c r="N132">
        <v>6</v>
      </c>
      <c r="O132" t="s">
        <v>134</v>
      </c>
      <c r="P132" t="s">
        <v>16</v>
      </c>
      <c r="Q132" s="1" t="s">
        <v>68</v>
      </c>
      <c r="R132" t="s">
        <v>68</v>
      </c>
      <c r="S132" t="e">
        <f>IF(T132="","",INDEX('Backing 4'!U:U,MATCH(T132,'Backing 4'!T:T,0)))</f>
        <v>#N/A</v>
      </c>
      <c r="T132" t="str">
        <f t="shared" si="6"/>
        <v xml:space="preserve"> Junior Officer &amp; Sales &amp; Marketing</v>
      </c>
      <c r="U132" t="e">
        <f>IF(V132="","",INDEX('Backing 4'!Z:Z,MATCH(V132,'Backing 4'!Y:Y,0)))</f>
        <v>#N/A</v>
      </c>
      <c r="V132" t="str">
        <f t="shared" si="7"/>
        <v xml:space="preserve"> Junior Officer</v>
      </c>
      <c r="W132">
        <v>2</v>
      </c>
      <c r="X132" t="str">
        <f>IF(E132="Y","",IF(Y132="Y",INDEX('Backing 2'!B:B,MATCH(D132,'Backing 2'!C:C,0)),D132))</f>
        <v xml:space="preserve"> Junior Officer</v>
      </c>
      <c r="Y132" t="s">
        <v>81</v>
      </c>
      <c r="Z132">
        <v>3</v>
      </c>
      <c r="AA132" t="s">
        <v>69</v>
      </c>
      <c r="AB132">
        <v>23</v>
      </c>
      <c r="AC132" t="s">
        <v>19</v>
      </c>
      <c r="AD132" t="s">
        <v>19</v>
      </c>
      <c r="AE132" t="s">
        <v>19</v>
      </c>
      <c r="AF132" s="3">
        <v>43191</v>
      </c>
      <c r="AG132">
        <v>2</v>
      </c>
      <c r="AH132">
        <f t="shared" ca="1" si="8"/>
        <v>0.32048702140986673</v>
      </c>
    </row>
    <row r="133" spans="1:34">
      <c r="A133">
        <v>132</v>
      </c>
      <c r="B133" t="s">
        <v>8</v>
      </c>
      <c r="C133">
        <v>6</v>
      </c>
      <c r="D133" t="s">
        <v>134</v>
      </c>
      <c r="E133" t="s">
        <v>81</v>
      </c>
      <c r="F133">
        <v>2</v>
      </c>
      <c r="G133" t="s">
        <v>82</v>
      </c>
      <c r="H133" t="s">
        <v>80</v>
      </c>
      <c r="I133" s="2">
        <v>0.5</v>
      </c>
      <c r="J133" t="s">
        <v>82</v>
      </c>
      <c r="K133" t="s">
        <v>79</v>
      </c>
      <c r="L133" t="s">
        <v>15</v>
      </c>
      <c r="M133">
        <v>0</v>
      </c>
      <c r="N133">
        <v>6</v>
      </c>
      <c r="O133" t="s">
        <v>134</v>
      </c>
      <c r="P133" t="s">
        <v>15</v>
      </c>
      <c r="Q133" s="1" t="s">
        <v>68</v>
      </c>
      <c r="R133" t="s">
        <v>68</v>
      </c>
      <c r="S133" t="e">
        <f>IF(T133="","",INDEX('Backing 4'!U:U,MATCH(T133,'Backing 4'!T:T,0)))</f>
        <v>#N/A</v>
      </c>
      <c r="T133" t="str">
        <f t="shared" si="6"/>
        <v xml:space="preserve"> Junior Officer &amp; Internal Services</v>
      </c>
      <c r="U133" t="e">
        <f>IF(V133="","",INDEX('Backing 4'!Z:Z,MATCH(V133,'Backing 4'!Y:Y,0)))</f>
        <v>#N/A</v>
      </c>
      <c r="V133" t="str">
        <f t="shared" si="7"/>
        <v xml:space="preserve"> Junior Officer</v>
      </c>
      <c r="W133">
        <v>2</v>
      </c>
      <c r="X133" t="str">
        <f>IF(E133="Y","",IF(Y133="Y",INDEX('Backing 2'!B:B,MATCH(D133,'Backing 2'!C:C,0)),D133))</f>
        <v xml:space="preserve"> Junior Officer</v>
      </c>
      <c r="Y133" t="s">
        <v>81</v>
      </c>
      <c r="Z133">
        <v>4</v>
      </c>
      <c r="AA133" t="s">
        <v>69</v>
      </c>
      <c r="AB133">
        <v>25</v>
      </c>
      <c r="AC133" t="s">
        <v>30</v>
      </c>
      <c r="AD133" t="s">
        <v>74</v>
      </c>
      <c r="AE133" t="s">
        <v>74</v>
      </c>
      <c r="AF133" s="3">
        <v>43191</v>
      </c>
      <c r="AG133">
        <v>2</v>
      </c>
      <c r="AH133">
        <f t="shared" ca="1" si="8"/>
        <v>0.81147204614534485</v>
      </c>
    </row>
    <row r="134" spans="1:34">
      <c r="A134">
        <v>133</v>
      </c>
      <c r="B134" t="s">
        <v>7</v>
      </c>
      <c r="C134">
        <v>4</v>
      </c>
      <c r="D134" t="s">
        <v>135</v>
      </c>
      <c r="E134" t="s">
        <v>81</v>
      </c>
      <c r="F134">
        <v>3</v>
      </c>
      <c r="G134" t="s">
        <v>82</v>
      </c>
      <c r="H134" t="s">
        <v>80</v>
      </c>
      <c r="I134" s="2">
        <v>0.5</v>
      </c>
      <c r="J134" t="s">
        <v>82</v>
      </c>
      <c r="K134" t="s">
        <v>79</v>
      </c>
      <c r="L134" t="s">
        <v>14</v>
      </c>
      <c r="M134">
        <v>0</v>
      </c>
      <c r="N134">
        <v>4</v>
      </c>
      <c r="O134" t="s">
        <v>135</v>
      </c>
      <c r="P134" t="s">
        <v>14</v>
      </c>
      <c r="Q134" s="1" t="s">
        <v>68</v>
      </c>
      <c r="R134" t="s">
        <v>68</v>
      </c>
      <c r="S134" t="e">
        <f>IF(T134="","",INDEX('Backing 4'!U:U,MATCH(T134,'Backing 4'!T:T,0)))</f>
        <v>#N/A</v>
      </c>
      <c r="T134" t="str">
        <f t="shared" si="6"/>
        <v xml:space="preserve"> Manager &amp; Operations</v>
      </c>
      <c r="U134" t="e">
        <f>IF(V134="","",INDEX('Backing 4'!Z:Z,MATCH(V134,'Backing 4'!Y:Y,0)))</f>
        <v>#N/A</v>
      </c>
      <c r="V134" t="str">
        <f t="shared" si="7"/>
        <v xml:space="preserve"> Manager</v>
      </c>
      <c r="W134">
        <v>3</v>
      </c>
      <c r="X134" t="str">
        <f>IF(E134="Y","",IF(Y134="Y",INDEX('Backing 2'!B:B,MATCH(D134,'Backing 2'!C:C,0)),D134))</f>
        <v xml:space="preserve"> Manager</v>
      </c>
      <c r="Y134" t="s">
        <v>81</v>
      </c>
      <c r="Z134">
        <v>2</v>
      </c>
      <c r="AA134" t="s">
        <v>70</v>
      </c>
      <c r="AB134">
        <v>38</v>
      </c>
      <c r="AC134" t="s">
        <v>28</v>
      </c>
      <c r="AD134" t="s">
        <v>74</v>
      </c>
      <c r="AE134" t="s">
        <v>74</v>
      </c>
      <c r="AF134" s="3">
        <v>42826</v>
      </c>
      <c r="AG134">
        <v>3</v>
      </c>
      <c r="AH134">
        <f t="shared" ca="1" si="8"/>
        <v>0.4103761611340967</v>
      </c>
    </row>
    <row r="135" spans="1:34">
      <c r="A135">
        <v>134</v>
      </c>
      <c r="B135" t="s">
        <v>8</v>
      </c>
      <c r="C135">
        <v>4</v>
      </c>
      <c r="D135" t="s">
        <v>135</v>
      </c>
      <c r="E135" t="s">
        <v>81</v>
      </c>
      <c r="F135">
        <v>3</v>
      </c>
      <c r="G135" t="s">
        <v>82</v>
      </c>
      <c r="H135" t="s">
        <v>80</v>
      </c>
      <c r="I135" s="2">
        <v>0.5</v>
      </c>
      <c r="J135" t="s">
        <v>82</v>
      </c>
      <c r="K135" t="s">
        <v>79</v>
      </c>
      <c r="L135" t="s">
        <v>16</v>
      </c>
      <c r="M135">
        <v>0</v>
      </c>
      <c r="N135">
        <v>4</v>
      </c>
      <c r="O135" t="s">
        <v>135</v>
      </c>
      <c r="P135" t="s">
        <v>16</v>
      </c>
      <c r="Q135" s="1" t="s">
        <v>68</v>
      </c>
      <c r="R135" t="s">
        <v>68</v>
      </c>
      <c r="S135" t="e">
        <f>IF(T135="","",INDEX('Backing 4'!U:U,MATCH(T135,'Backing 4'!T:T,0)))</f>
        <v>#N/A</v>
      </c>
      <c r="T135" t="str">
        <f t="shared" si="6"/>
        <v xml:space="preserve"> Manager &amp; Sales &amp; Marketing</v>
      </c>
      <c r="U135" t="e">
        <f>IF(V135="","",INDEX('Backing 4'!Z:Z,MATCH(V135,'Backing 4'!Y:Y,0)))</f>
        <v>#N/A</v>
      </c>
      <c r="V135" t="str">
        <f t="shared" si="7"/>
        <v xml:space="preserve"> Manager</v>
      </c>
      <c r="W135">
        <v>3</v>
      </c>
      <c r="X135" t="str">
        <f>IF(E135="Y","",IF(Y135="Y",INDEX('Backing 2'!B:B,MATCH(D135,'Backing 2'!C:C,0)),D135))</f>
        <v xml:space="preserve"> Manager</v>
      </c>
      <c r="Y135" t="s">
        <v>81</v>
      </c>
      <c r="Z135">
        <v>3</v>
      </c>
      <c r="AA135" t="s">
        <v>70</v>
      </c>
      <c r="AB135">
        <v>32</v>
      </c>
      <c r="AC135" t="s">
        <v>31</v>
      </c>
      <c r="AD135" t="s">
        <v>74</v>
      </c>
      <c r="AE135" t="s">
        <v>74</v>
      </c>
      <c r="AF135" s="3">
        <v>41000</v>
      </c>
      <c r="AG135">
        <v>8</v>
      </c>
      <c r="AH135">
        <f t="shared" ca="1" si="8"/>
        <v>0.81380478391811828</v>
      </c>
    </row>
    <row r="136" spans="1:34">
      <c r="A136">
        <v>135</v>
      </c>
      <c r="B136" t="s">
        <v>7</v>
      </c>
      <c r="C136">
        <v>6</v>
      </c>
      <c r="D136" t="s">
        <v>134</v>
      </c>
      <c r="E136" t="s">
        <v>81</v>
      </c>
      <c r="F136">
        <v>3</v>
      </c>
      <c r="G136" t="s">
        <v>82</v>
      </c>
      <c r="H136" t="s">
        <v>80</v>
      </c>
      <c r="I136" s="2">
        <v>0.5</v>
      </c>
      <c r="J136" t="s">
        <v>82</v>
      </c>
      <c r="K136" t="s">
        <v>79</v>
      </c>
      <c r="L136" t="s">
        <v>14</v>
      </c>
      <c r="M136">
        <v>0</v>
      </c>
      <c r="N136">
        <v>6</v>
      </c>
      <c r="O136" t="s">
        <v>134</v>
      </c>
      <c r="P136" t="s">
        <v>14</v>
      </c>
      <c r="Q136" s="1">
        <v>0.7</v>
      </c>
      <c r="R136" t="s">
        <v>67</v>
      </c>
      <c r="S136" t="e">
        <f>IF(T136="","",INDEX('Backing 4'!U:U,MATCH(T136,'Backing 4'!T:T,0)))</f>
        <v>#N/A</v>
      </c>
      <c r="T136" t="str">
        <f t="shared" si="6"/>
        <v xml:space="preserve"> Junior Officer &amp; Operations</v>
      </c>
      <c r="U136" t="e">
        <f>IF(V136="","",INDEX('Backing 4'!Z:Z,MATCH(V136,'Backing 4'!Y:Y,0)))</f>
        <v>#N/A</v>
      </c>
      <c r="V136" t="str">
        <f t="shared" si="7"/>
        <v xml:space="preserve"> Junior Officer</v>
      </c>
      <c r="W136">
        <v>1</v>
      </c>
      <c r="X136" t="str">
        <f>IF(E136="Y","",IF(Y136="Y",INDEX('Backing 2'!B:B,MATCH(D136,'Backing 2'!C:C,0)),D136))</f>
        <v xml:space="preserve"> Junior Officer</v>
      </c>
      <c r="Y136" t="s">
        <v>81</v>
      </c>
      <c r="Z136">
        <v>0</v>
      </c>
      <c r="AA136" t="s">
        <v>129</v>
      </c>
      <c r="AB136">
        <v>19</v>
      </c>
      <c r="AC136" t="s">
        <v>19</v>
      </c>
      <c r="AD136" t="s">
        <v>19</v>
      </c>
      <c r="AE136" t="s">
        <v>19</v>
      </c>
      <c r="AF136" s="3">
        <v>43556</v>
      </c>
      <c r="AG136">
        <v>1</v>
      </c>
      <c r="AH136">
        <f t="shared" ca="1" si="8"/>
        <v>0.90721946377971552</v>
      </c>
    </row>
    <row r="137" spans="1:34">
      <c r="A137">
        <v>136</v>
      </c>
      <c r="B137" t="s">
        <v>8</v>
      </c>
      <c r="C137">
        <v>6</v>
      </c>
      <c r="D137" t="s">
        <v>134</v>
      </c>
      <c r="E137" t="s">
        <v>81</v>
      </c>
      <c r="F137">
        <v>2</v>
      </c>
      <c r="G137" t="s">
        <v>82</v>
      </c>
      <c r="H137" t="s">
        <v>80</v>
      </c>
      <c r="I137" s="2">
        <v>0.5</v>
      </c>
      <c r="J137" t="s">
        <v>82</v>
      </c>
      <c r="K137" t="s">
        <v>79</v>
      </c>
      <c r="L137" t="s">
        <v>14</v>
      </c>
      <c r="M137">
        <v>0</v>
      </c>
      <c r="N137">
        <v>6</v>
      </c>
      <c r="O137" t="s">
        <v>134</v>
      </c>
      <c r="P137" t="s">
        <v>14</v>
      </c>
      <c r="Q137" s="1" t="s">
        <v>68</v>
      </c>
      <c r="R137" t="s">
        <v>68</v>
      </c>
      <c r="S137" t="e">
        <f>IF(T137="","",INDEX('Backing 4'!U:U,MATCH(T137,'Backing 4'!T:T,0)))</f>
        <v>#N/A</v>
      </c>
      <c r="T137" t="str">
        <f t="shared" si="6"/>
        <v xml:space="preserve"> Junior Officer &amp; Operations</v>
      </c>
      <c r="U137" t="e">
        <f>IF(V137="","",INDEX('Backing 4'!Z:Z,MATCH(V137,'Backing 4'!Y:Y,0)))</f>
        <v>#N/A</v>
      </c>
      <c r="V137" t="str">
        <f t="shared" si="7"/>
        <v xml:space="preserve"> Junior Officer</v>
      </c>
      <c r="W137">
        <v>1</v>
      </c>
      <c r="X137" t="str">
        <f>IF(E137="Y","",IF(Y137="Y",INDEX('Backing 2'!B:B,MATCH(D137,'Backing 2'!C:C,0)),D137))</f>
        <v xml:space="preserve"> Junior Officer</v>
      </c>
      <c r="Y137" t="s">
        <v>81</v>
      </c>
      <c r="Z137">
        <v>0</v>
      </c>
      <c r="AA137" t="s">
        <v>69</v>
      </c>
      <c r="AB137">
        <v>26</v>
      </c>
      <c r="AC137" t="s">
        <v>19</v>
      </c>
      <c r="AD137" t="s">
        <v>19</v>
      </c>
      <c r="AE137" t="s">
        <v>19</v>
      </c>
      <c r="AF137" s="3">
        <v>43556</v>
      </c>
      <c r="AG137">
        <v>1</v>
      </c>
      <c r="AH137">
        <f t="shared" ca="1" si="8"/>
        <v>3.7479314876383119E-2</v>
      </c>
    </row>
    <row r="138" spans="1:34">
      <c r="A138">
        <v>137</v>
      </c>
      <c r="B138" t="s">
        <v>8</v>
      </c>
      <c r="C138">
        <v>3</v>
      </c>
      <c r="D138" t="s">
        <v>137</v>
      </c>
      <c r="E138" t="s">
        <v>81</v>
      </c>
      <c r="F138">
        <v>2</v>
      </c>
      <c r="G138" t="s">
        <v>80</v>
      </c>
      <c r="H138" t="s">
        <v>80</v>
      </c>
      <c r="I138" s="2">
        <v>0.5</v>
      </c>
      <c r="J138" t="s">
        <v>82</v>
      </c>
      <c r="K138" t="s">
        <v>79</v>
      </c>
      <c r="L138" t="s">
        <v>16</v>
      </c>
      <c r="M138">
        <v>0</v>
      </c>
      <c r="N138">
        <v>2</v>
      </c>
      <c r="O138" t="s">
        <v>136</v>
      </c>
      <c r="P138" t="s">
        <v>16</v>
      </c>
      <c r="Q138" s="1" t="s">
        <v>68</v>
      </c>
      <c r="R138" t="s">
        <v>68</v>
      </c>
      <c r="S138" t="e">
        <f>IF(T138="","",INDEX('Backing 4'!U:U,MATCH(T138,'Backing 4'!T:T,0)))</f>
        <v>#N/A</v>
      </c>
      <c r="T138" t="str">
        <f t="shared" si="6"/>
        <v xml:space="preserve"> Senior Manager &amp; Sales &amp; Marketing</v>
      </c>
      <c r="U138" t="e">
        <f>IF(V138="","",INDEX('Backing 4'!Z:Z,MATCH(V138,'Backing 4'!Y:Y,0)))</f>
        <v>#N/A</v>
      </c>
      <c r="V138" t="str">
        <f t="shared" si="7"/>
        <v xml:space="preserve"> Senior Manager</v>
      </c>
      <c r="W138">
        <v>2</v>
      </c>
      <c r="X138" t="str">
        <f>IF(E138="Y","",IF(Y138="Y",INDEX('Backing 2'!B:B,MATCH(D138,'Backing 2'!C:C,0)),D138))</f>
        <v xml:space="preserve"> Senior Manager</v>
      </c>
      <c r="Y138" t="s">
        <v>81</v>
      </c>
      <c r="Z138">
        <v>3</v>
      </c>
      <c r="AA138" t="s">
        <v>71</v>
      </c>
      <c r="AB138">
        <v>40</v>
      </c>
      <c r="AC138" t="s">
        <v>31</v>
      </c>
      <c r="AD138" t="s">
        <v>74</v>
      </c>
      <c r="AE138" t="s">
        <v>74</v>
      </c>
      <c r="AF138" s="3">
        <v>43191</v>
      </c>
      <c r="AG138">
        <v>2</v>
      </c>
      <c r="AH138">
        <f t="shared" ca="1" si="8"/>
        <v>0.74749906331089833</v>
      </c>
    </row>
    <row r="139" spans="1:34">
      <c r="A139">
        <v>138</v>
      </c>
      <c r="B139" t="s">
        <v>7</v>
      </c>
      <c r="C139">
        <v>6</v>
      </c>
      <c r="D139" t="s">
        <v>134</v>
      </c>
      <c r="E139" t="s">
        <v>81</v>
      </c>
      <c r="F139">
        <v>2</v>
      </c>
      <c r="G139" t="s">
        <v>80</v>
      </c>
      <c r="H139" t="s">
        <v>80</v>
      </c>
      <c r="I139" s="2">
        <v>0.5</v>
      </c>
      <c r="J139" t="s">
        <v>82</v>
      </c>
      <c r="K139" t="s">
        <v>79</v>
      </c>
      <c r="L139" t="s">
        <v>13</v>
      </c>
      <c r="M139">
        <v>0</v>
      </c>
      <c r="N139">
        <v>5</v>
      </c>
      <c r="O139" t="s">
        <v>138</v>
      </c>
      <c r="P139" t="s">
        <v>13</v>
      </c>
      <c r="Q139" s="1" t="s">
        <v>68</v>
      </c>
      <c r="R139" t="s">
        <v>68</v>
      </c>
      <c r="S139" t="e">
        <f>IF(T139="","",INDEX('Backing 4'!U:U,MATCH(T139,'Backing 4'!T:T,0)))</f>
        <v>#N/A</v>
      </c>
      <c r="T139" t="str">
        <f t="shared" si="6"/>
        <v xml:space="preserve"> Junior Officer &amp; HR</v>
      </c>
      <c r="U139" t="e">
        <f>IF(V139="","",INDEX('Backing 4'!Z:Z,MATCH(V139,'Backing 4'!Y:Y,0)))</f>
        <v>#N/A</v>
      </c>
      <c r="V139" t="str">
        <f t="shared" si="7"/>
        <v xml:space="preserve"> Junior Officer</v>
      </c>
      <c r="W139">
        <v>6</v>
      </c>
      <c r="X139" t="str">
        <f>IF(E139="Y","",IF(Y139="Y",INDEX('Backing 2'!B:B,MATCH(D139,'Backing 2'!C:C,0)),D139))</f>
        <v xml:space="preserve"> Junior Officer</v>
      </c>
      <c r="Y139" t="s">
        <v>81</v>
      </c>
      <c r="Z139">
        <v>2</v>
      </c>
      <c r="AA139" t="s">
        <v>70</v>
      </c>
      <c r="AB139">
        <v>30</v>
      </c>
      <c r="AC139" t="s">
        <v>20</v>
      </c>
      <c r="AD139" t="s">
        <v>74</v>
      </c>
      <c r="AE139" t="s">
        <v>74</v>
      </c>
      <c r="AF139" s="3">
        <v>41730</v>
      </c>
      <c r="AG139">
        <v>6</v>
      </c>
      <c r="AH139">
        <f t="shared" ca="1" si="8"/>
        <v>0.17288655896820315</v>
      </c>
    </row>
    <row r="140" spans="1:34">
      <c r="A140">
        <v>139</v>
      </c>
      <c r="B140" t="s">
        <v>7</v>
      </c>
      <c r="C140">
        <v>6</v>
      </c>
      <c r="D140" t="s">
        <v>134</v>
      </c>
      <c r="E140" t="s">
        <v>81</v>
      </c>
      <c r="F140">
        <v>2</v>
      </c>
      <c r="G140" t="s">
        <v>82</v>
      </c>
      <c r="H140" t="s">
        <v>80</v>
      </c>
      <c r="I140" s="2">
        <v>0.5</v>
      </c>
      <c r="J140" t="s">
        <v>82</v>
      </c>
      <c r="K140" t="s">
        <v>79</v>
      </c>
      <c r="L140" t="s">
        <v>16</v>
      </c>
      <c r="M140">
        <v>0</v>
      </c>
      <c r="N140">
        <v>6</v>
      </c>
      <c r="O140" t="s">
        <v>134</v>
      </c>
      <c r="P140" t="s">
        <v>16</v>
      </c>
      <c r="Q140" s="1" t="s">
        <v>68</v>
      </c>
      <c r="R140" t="s">
        <v>68</v>
      </c>
      <c r="S140" t="e">
        <f>IF(T140="","",INDEX('Backing 4'!U:U,MATCH(T140,'Backing 4'!T:T,0)))</f>
        <v>#N/A</v>
      </c>
      <c r="T140" t="str">
        <f t="shared" si="6"/>
        <v xml:space="preserve"> Junior Officer &amp; Sales &amp; Marketing</v>
      </c>
      <c r="U140" t="e">
        <f>IF(V140="","",INDEX('Backing 4'!Z:Z,MATCH(V140,'Backing 4'!Y:Y,0)))</f>
        <v>#N/A</v>
      </c>
      <c r="V140" t="str">
        <f t="shared" si="7"/>
        <v xml:space="preserve"> Junior Officer</v>
      </c>
      <c r="W140">
        <v>2</v>
      </c>
      <c r="X140" t="str">
        <f>IF(E140="Y","",IF(Y140="Y",INDEX('Backing 2'!B:B,MATCH(D140,'Backing 2'!C:C,0)),D140))</f>
        <v xml:space="preserve"> Junior Officer</v>
      </c>
      <c r="Y140" t="s">
        <v>81</v>
      </c>
      <c r="Z140">
        <v>3</v>
      </c>
      <c r="AA140" t="s">
        <v>69</v>
      </c>
      <c r="AB140">
        <v>27</v>
      </c>
      <c r="AC140" t="s">
        <v>26</v>
      </c>
      <c r="AD140" t="s">
        <v>74</v>
      </c>
      <c r="AE140" t="s">
        <v>74</v>
      </c>
      <c r="AF140" s="3">
        <v>43191</v>
      </c>
      <c r="AG140">
        <v>2</v>
      </c>
      <c r="AH140">
        <f t="shared" ca="1" si="8"/>
        <v>0.4972769456163153</v>
      </c>
    </row>
    <row r="141" spans="1:34">
      <c r="A141">
        <v>140</v>
      </c>
      <c r="B141" t="s">
        <v>8</v>
      </c>
      <c r="C141">
        <v>3</v>
      </c>
      <c r="D141" t="s">
        <v>137</v>
      </c>
      <c r="E141" t="s">
        <v>81</v>
      </c>
      <c r="F141">
        <v>2</v>
      </c>
      <c r="G141" t="s">
        <v>82</v>
      </c>
      <c r="H141" t="s">
        <v>80</v>
      </c>
      <c r="I141" s="2">
        <v>0.5</v>
      </c>
      <c r="J141" t="s">
        <v>82</v>
      </c>
      <c r="K141" t="s">
        <v>79</v>
      </c>
      <c r="L141" t="s">
        <v>16</v>
      </c>
      <c r="M141">
        <v>0</v>
      </c>
      <c r="N141">
        <v>3</v>
      </c>
      <c r="O141" t="s">
        <v>137</v>
      </c>
      <c r="P141" t="s">
        <v>16</v>
      </c>
      <c r="Q141" s="1" t="s">
        <v>68</v>
      </c>
      <c r="R141" t="s">
        <v>68</v>
      </c>
      <c r="S141" t="e">
        <f>IF(T141="","",INDEX('Backing 4'!U:U,MATCH(T141,'Backing 4'!T:T,0)))</f>
        <v>#N/A</v>
      </c>
      <c r="T141" t="str">
        <f t="shared" si="6"/>
        <v xml:space="preserve"> Senior Manager &amp; Sales &amp; Marketing</v>
      </c>
      <c r="U141" t="e">
        <f>IF(V141="","",INDEX('Backing 4'!Z:Z,MATCH(V141,'Backing 4'!Y:Y,0)))</f>
        <v>#N/A</v>
      </c>
      <c r="V141" t="str">
        <f t="shared" si="7"/>
        <v xml:space="preserve"> Senior Manager</v>
      </c>
      <c r="W141">
        <v>5</v>
      </c>
      <c r="X141" t="str">
        <f>IF(E141="Y","",IF(Y141="Y",INDEX('Backing 2'!B:B,MATCH(D141,'Backing 2'!C:C,0)),D141))</f>
        <v xml:space="preserve"> Senior Manager</v>
      </c>
      <c r="Y141" t="s">
        <v>81</v>
      </c>
      <c r="Z141">
        <v>3</v>
      </c>
      <c r="AA141" t="s">
        <v>70</v>
      </c>
      <c r="AB141">
        <v>39</v>
      </c>
      <c r="AC141" t="s">
        <v>19</v>
      </c>
      <c r="AD141" t="s">
        <v>19</v>
      </c>
      <c r="AE141" t="s">
        <v>19</v>
      </c>
      <c r="AF141" s="3">
        <v>42095</v>
      </c>
      <c r="AG141">
        <v>5</v>
      </c>
      <c r="AH141">
        <f t="shared" ca="1" si="8"/>
        <v>0.57365529736572352</v>
      </c>
    </row>
    <row r="142" spans="1:34">
      <c r="A142">
        <v>141</v>
      </c>
      <c r="B142" t="s">
        <v>8</v>
      </c>
      <c r="C142">
        <v>3</v>
      </c>
      <c r="D142" t="s">
        <v>137</v>
      </c>
      <c r="E142" t="s">
        <v>81</v>
      </c>
      <c r="F142">
        <v>4</v>
      </c>
      <c r="G142" t="s">
        <v>82</v>
      </c>
      <c r="H142" t="s">
        <v>80</v>
      </c>
      <c r="I142" s="2">
        <v>0.5</v>
      </c>
      <c r="J142" t="s">
        <v>82</v>
      </c>
      <c r="K142" t="s">
        <v>79</v>
      </c>
      <c r="L142" t="s">
        <v>14</v>
      </c>
      <c r="M142">
        <v>0</v>
      </c>
      <c r="N142">
        <v>3</v>
      </c>
      <c r="O142" t="s">
        <v>137</v>
      </c>
      <c r="P142" t="s">
        <v>14</v>
      </c>
      <c r="Q142" s="1" t="s">
        <v>68</v>
      </c>
      <c r="R142" t="s">
        <v>68</v>
      </c>
      <c r="S142" t="e">
        <f>IF(T142="","",INDEX('Backing 4'!U:U,MATCH(T142,'Backing 4'!T:T,0)))</f>
        <v>#N/A</v>
      </c>
      <c r="T142" t="str">
        <f t="shared" si="6"/>
        <v xml:space="preserve"> Senior Manager &amp; Operations</v>
      </c>
      <c r="U142" t="e">
        <f>IF(V142="","",INDEX('Backing 4'!Z:Z,MATCH(V142,'Backing 4'!Y:Y,0)))</f>
        <v>#N/A</v>
      </c>
      <c r="V142" t="str">
        <f t="shared" si="7"/>
        <v xml:space="preserve"> Senior Manager</v>
      </c>
      <c r="W142">
        <v>1</v>
      </c>
      <c r="X142" t="e">
        <f>IF(E142="Y","",IF(Y142="Y",INDEX('Backing 2'!B:B,MATCH(D142,'Backing 2'!C:C,0)),D142))</f>
        <v>#N/A</v>
      </c>
      <c r="Y142" t="s">
        <v>79</v>
      </c>
      <c r="Z142">
        <v>2</v>
      </c>
      <c r="AA142" t="s">
        <v>70</v>
      </c>
      <c r="AB142">
        <v>35</v>
      </c>
      <c r="AC142" t="s">
        <v>19</v>
      </c>
      <c r="AD142" t="s">
        <v>19</v>
      </c>
      <c r="AE142" t="s">
        <v>19</v>
      </c>
      <c r="AF142" s="3">
        <v>42095</v>
      </c>
      <c r="AG142">
        <v>5</v>
      </c>
      <c r="AH142">
        <f t="shared" ca="1" si="8"/>
        <v>0.80882712099312359</v>
      </c>
    </row>
    <row r="143" spans="1:34">
      <c r="A143">
        <v>142</v>
      </c>
      <c r="B143" t="s">
        <v>8</v>
      </c>
      <c r="C143">
        <v>3</v>
      </c>
      <c r="D143" t="s">
        <v>137</v>
      </c>
      <c r="E143" t="s">
        <v>79</v>
      </c>
      <c r="F143">
        <v>0</v>
      </c>
      <c r="G143" t="s">
        <v>82</v>
      </c>
      <c r="H143" t="s">
        <v>82</v>
      </c>
      <c r="I143" s="2">
        <v>0.5</v>
      </c>
      <c r="J143" t="s">
        <v>82</v>
      </c>
      <c r="K143" t="s">
        <v>81</v>
      </c>
      <c r="L143" t="s">
        <v>14</v>
      </c>
      <c r="M143">
        <v>0</v>
      </c>
      <c r="N143">
        <v>3</v>
      </c>
      <c r="O143" t="s">
        <v>137</v>
      </c>
      <c r="P143" t="s">
        <v>14</v>
      </c>
      <c r="Q143" s="1" t="s">
        <v>68</v>
      </c>
      <c r="R143" t="s">
        <v>68</v>
      </c>
      <c r="S143" t="e">
        <f>IF(T143="","",INDEX('Backing 4'!U:U,MATCH(T143,'Backing 4'!T:T,0)))</f>
        <v>#N/A</v>
      </c>
      <c r="T143" t="str">
        <f t="shared" si="6"/>
        <v xml:space="preserve"> Senior Manager &amp; Operations</v>
      </c>
      <c r="U143" t="e">
        <f>IF(V143="","",INDEX('Backing 4'!Z:Z,MATCH(V143,'Backing 4'!Y:Y,0)))</f>
        <v>#N/A</v>
      </c>
      <c r="V143" t="str">
        <f t="shared" si="7"/>
        <v xml:space="preserve"> Senior Manager</v>
      </c>
      <c r="W143">
        <v>0</v>
      </c>
      <c r="X143" t="str">
        <f>IF(E143="Y","",IF(Y143="Y",INDEX('Backing 2'!B:B,MATCH(D143,'Backing 2'!C:C,0)),D143))</f>
        <v/>
      </c>
      <c r="Y143" t="s">
        <v>81</v>
      </c>
      <c r="Z143">
        <v>0</v>
      </c>
      <c r="AA143" t="s">
        <v>70</v>
      </c>
      <c r="AB143">
        <v>34</v>
      </c>
      <c r="AC143" t="s">
        <v>19</v>
      </c>
      <c r="AD143" t="s">
        <v>19</v>
      </c>
      <c r="AE143" t="s">
        <v>19</v>
      </c>
      <c r="AF143" s="3">
        <v>43922</v>
      </c>
      <c r="AG143">
        <v>0</v>
      </c>
      <c r="AH143">
        <f t="shared" ca="1" si="8"/>
        <v>0.61605106956297684</v>
      </c>
    </row>
    <row r="144" spans="1:34">
      <c r="A144">
        <v>143</v>
      </c>
      <c r="B144" t="s">
        <v>7</v>
      </c>
      <c r="C144">
        <v>6</v>
      </c>
      <c r="D144" s="4" t="s">
        <v>134</v>
      </c>
      <c r="E144" t="s">
        <v>81</v>
      </c>
      <c r="F144">
        <v>3</v>
      </c>
      <c r="G144" t="s">
        <v>82</v>
      </c>
      <c r="H144" t="s">
        <v>82</v>
      </c>
      <c r="I144" s="2">
        <v>0.5</v>
      </c>
      <c r="J144" t="s">
        <v>80</v>
      </c>
      <c r="K144" t="s">
        <v>79</v>
      </c>
      <c r="L144" t="s">
        <v>14</v>
      </c>
      <c r="M144" t="s">
        <v>83</v>
      </c>
      <c r="N144">
        <v>0</v>
      </c>
      <c r="O144" t="s">
        <v>142</v>
      </c>
      <c r="P144" t="s">
        <v>14</v>
      </c>
      <c r="Q144" s="1">
        <v>0.5</v>
      </c>
      <c r="R144" t="s">
        <v>67</v>
      </c>
      <c r="S144" t="e">
        <f>IF(T144="","",INDEX('Backing 4'!U:U,MATCH(T144,'Backing 4'!T:T,0)))</f>
        <v>#N/A</v>
      </c>
      <c r="T144" t="str">
        <f t="shared" si="6"/>
        <v xml:space="preserve"> Junior Officer &amp; Operations</v>
      </c>
      <c r="U144" t="e">
        <f>IF(V144="","",INDEX('Backing 4'!Z:Z,MATCH(V144,'Backing 4'!Y:Y,0)))</f>
        <v>#N/A</v>
      </c>
      <c r="V144" t="str">
        <f t="shared" si="7"/>
        <v xml:space="preserve"> Junior Officer</v>
      </c>
      <c r="W144">
        <v>2</v>
      </c>
      <c r="X144" t="str">
        <f>IF(E144="Y","",IF(Y144="Y",INDEX('Backing 2'!B:B,MATCH(D144,'Backing 2'!C:C,0)),D144))</f>
        <v xml:space="preserve"> Junior Officer</v>
      </c>
      <c r="Y144" t="s">
        <v>81</v>
      </c>
      <c r="Z144">
        <v>3</v>
      </c>
      <c r="AA144" t="s">
        <v>70</v>
      </c>
      <c r="AB144">
        <v>31</v>
      </c>
      <c r="AC144" t="s">
        <v>19</v>
      </c>
      <c r="AD144" t="s">
        <v>19</v>
      </c>
      <c r="AE144" t="s">
        <v>19</v>
      </c>
      <c r="AF144" s="3">
        <v>43191</v>
      </c>
      <c r="AG144">
        <v>2</v>
      </c>
      <c r="AH144">
        <f t="shared" ca="1" si="8"/>
        <v>0.39845638184205345</v>
      </c>
    </row>
    <row r="145" spans="1:34">
      <c r="A145">
        <v>144</v>
      </c>
      <c r="B145" t="s">
        <v>8</v>
      </c>
      <c r="C145">
        <v>1</v>
      </c>
      <c r="D145" t="s">
        <v>139</v>
      </c>
      <c r="E145" t="s">
        <v>79</v>
      </c>
      <c r="F145">
        <v>0</v>
      </c>
      <c r="G145" t="s">
        <v>82</v>
      </c>
      <c r="H145" t="s">
        <v>82</v>
      </c>
      <c r="I145" s="2">
        <v>0.5</v>
      </c>
      <c r="J145" t="s">
        <v>82</v>
      </c>
      <c r="K145" t="s">
        <v>81</v>
      </c>
      <c r="L145" t="s">
        <v>17</v>
      </c>
      <c r="M145">
        <v>0</v>
      </c>
      <c r="N145">
        <v>1</v>
      </c>
      <c r="O145" t="s">
        <v>139</v>
      </c>
      <c r="P145" t="s">
        <v>17</v>
      </c>
      <c r="Q145" s="1" t="s">
        <v>68</v>
      </c>
      <c r="R145" t="s">
        <v>68</v>
      </c>
      <c r="S145" t="e">
        <f>IF(T145="","",INDEX('Backing 4'!U:U,MATCH(T145,'Backing 4'!T:T,0)))</f>
        <v>#N/A</v>
      </c>
      <c r="T145" t="str">
        <f t="shared" si="6"/>
        <v xml:space="preserve"> Executive &amp; Strategy</v>
      </c>
      <c r="U145" t="e">
        <f>IF(V145="","",INDEX('Backing 4'!Z:Z,MATCH(V145,'Backing 4'!Y:Y,0)))</f>
        <v>#N/A</v>
      </c>
      <c r="V145" t="str">
        <f t="shared" si="7"/>
        <v xml:space="preserve"> Executive</v>
      </c>
      <c r="W145">
        <v>0</v>
      </c>
      <c r="X145" t="str">
        <f>IF(E145="Y","",IF(Y145="Y",INDEX('Backing 2'!B:B,MATCH(D145,'Backing 2'!C:C,0)),D145))</f>
        <v/>
      </c>
      <c r="Y145" t="s">
        <v>81</v>
      </c>
      <c r="Z145">
        <v>0</v>
      </c>
      <c r="AA145" t="s">
        <v>71</v>
      </c>
      <c r="AB145">
        <v>49</v>
      </c>
      <c r="AC145" t="s">
        <v>19</v>
      </c>
      <c r="AD145" t="s">
        <v>19</v>
      </c>
      <c r="AE145" t="s">
        <v>19</v>
      </c>
      <c r="AF145" s="3">
        <v>43922</v>
      </c>
      <c r="AG145">
        <v>0</v>
      </c>
      <c r="AH145">
        <f t="shared" ca="1" si="8"/>
        <v>0.91341540030060253</v>
      </c>
    </row>
    <row r="146" spans="1:34">
      <c r="A146">
        <v>145</v>
      </c>
      <c r="B146" t="s">
        <v>8</v>
      </c>
      <c r="C146">
        <v>4</v>
      </c>
      <c r="D146" t="s">
        <v>135</v>
      </c>
      <c r="E146" t="s">
        <v>81</v>
      </c>
      <c r="F146">
        <v>2</v>
      </c>
      <c r="G146" t="s">
        <v>82</v>
      </c>
      <c r="H146" t="s">
        <v>80</v>
      </c>
      <c r="I146" s="2">
        <v>0.5</v>
      </c>
      <c r="J146" t="s">
        <v>82</v>
      </c>
      <c r="K146" t="s">
        <v>79</v>
      </c>
      <c r="L146" t="s">
        <v>16</v>
      </c>
      <c r="M146">
        <v>0</v>
      </c>
      <c r="N146">
        <v>4</v>
      </c>
      <c r="O146" t="s">
        <v>135</v>
      </c>
      <c r="P146" t="s">
        <v>16</v>
      </c>
      <c r="Q146" s="1" t="s">
        <v>68</v>
      </c>
      <c r="R146" t="s">
        <v>68</v>
      </c>
      <c r="S146" t="e">
        <f>IF(T146="","",INDEX('Backing 4'!U:U,MATCH(T146,'Backing 4'!T:T,0)))</f>
        <v>#N/A</v>
      </c>
      <c r="T146" t="str">
        <f t="shared" si="6"/>
        <v xml:space="preserve"> Manager &amp; Sales &amp; Marketing</v>
      </c>
      <c r="U146" t="e">
        <f>IF(V146="","",INDEX('Backing 4'!Z:Z,MATCH(V146,'Backing 4'!Y:Y,0)))</f>
        <v>#N/A</v>
      </c>
      <c r="V146" t="str">
        <f t="shared" si="7"/>
        <v xml:space="preserve"> Manager</v>
      </c>
      <c r="W146">
        <v>4</v>
      </c>
      <c r="X146" t="str">
        <f>IF(E146="Y","",IF(Y146="Y",INDEX('Backing 2'!B:B,MATCH(D146,'Backing 2'!C:C,0)),D146))</f>
        <v xml:space="preserve"> Manager</v>
      </c>
      <c r="Y146" t="s">
        <v>81</v>
      </c>
      <c r="Z146">
        <v>3</v>
      </c>
      <c r="AA146" t="s">
        <v>70</v>
      </c>
      <c r="AB146">
        <v>36</v>
      </c>
      <c r="AC146" t="s">
        <v>21</v>
      </c>
      <c r="AD146" t="s">
        <v>74</v>
      </c>
      <c r="AE146" t="s">
        <v>74</v>
      </c>
      <c r="AF146" s="3">
        <v>42461</v>
      </c>
      <c r="AG146">
        <v>4</v>
      </c>
      <c r="AH146">
        <f t="shared" ca="1" si="8"/>
        <v>0.75441242808866316</v>
      </c>
    </row>
    <row r="147" spans="1:34">
      <c r="A147">
        <v>146</v>
      </c>
      <c r="B147" t="s">
        <v>8</v>
      </c>
      <c r="C147">
        <v>6</v>
      </c>
      <c r="D147" t="s">
        <v>134</v>
      </c>
      <c r="E147" t="s">
        <v>81</v>
      </c>
      <c r="F147">
        <v>2</v>
      </c>
      <c r="G147" t="s">
        <v>82</v>
      </c>
      <c r="H147" t="s">
        <v>80</v>
      </c>
      <c r="I147" s="2">
        <v>0.5</v>
      </c>
      <c r="J147" t="s">
        <v>82</v>
      </c>
      <c r="K147" t="s">
        <v>79</v>
      </c>
      <c r="L147" t="s">
        <v>16</v>
      </c>
      <c r="M147">
        <v>0</v>
      </c>
      <c r="N147">
        <v>6</v>
      </c>
      <c r="O147" t="s">
        <v>134</v>
      </c>
      <c r="P147" t="s">
        <v>16</v>
      </c>
      <c r="Q147" s="1" t="s">
        <v>68</v>
      </c>
      <c r="R147" t="s">
        <v>68</v>
      </c>
      <c r="S147" t="e">
        <f>IF(T147="","",INDEX('Backing 4'!U:U,MATCH(T147,'Backing 4'!T:T,0)))</f>
        <v>#N/A</v>
      </c>
      <c r="T147" t="str">
        <f t="shared" si="6"/>
        <v xml:space="preserve"> Junior Officer &amp; Sales &amp; Marketing</v>
      </c>
      <c r="U147" t="e">
        <f>IF(V147="","",INDEX('Backing 4'!Z:Z,MATCH(V147,'Backing 4'!Y:Y,0)))</f>
        <v>#N/A</v>
      </c>
      <c r="V147" t="str">
        <f t="shared" si="7"/>
        <v xml:space="preserve"> Junior Officer</v>
      </c>
      <c r="W147">
        <v>3</v>
      </c>
      <c r="X147" t="str">
        <f>IF(E147="Y","",IF(Y147="Y",INDEX('Backing 2'!B:B,MATCH(D147,'Backing 2'!C:C,0)),D147))</f>
        <v xml:space="preserve"> Junior Officer</v>
      </c>
      <c r="Y147" t="s">
        <v>81</v>
      </c>
      <c r="Z147">
        <v>2</v>
      </c>
      <c r="AA147" t="s">
        <v>69</v>
      </c>
      <c r="AB147">
        <v>26</v>
      </c>
      <c r="AC147" t="s">
        <v>31</v>
      </c>
      <c r="AD147" t="s">
        <v>74</v>
      </c>
      <c r="AE147" t="s">
        <v>74</v>
      </c>
      <c r="AF147" s="3">
        <v>42826</v>
      </c>
      <c r="AG147">
        <v>3</v>
      </c>
      <c r="AH147">
        <f t="shared" ca="1" si="8"/>
        <v>0.62968997332066956</v>
      </c>
    </row>
    <row r="148" spans="1:34">
      <c r="A148">
        <v>147</v>
      </c>
      <c r="B148" t="s">
        <v>7</v>
      </c>
      <c r="C148">
        <v>4</v>
      </c>
      <c r="D148" t="s">
        <v>135</v>
      </c>
      <c r="E148" t="s">
        <v>79</v>
      </c>
      <c r="F148">
        <v>0</v>
      </c>
      <c r="G148" t="s">
        <v>82</v>
      </c>
      <c r="H148" t="s">
        <v>82</v>
      </c>
      <c r="I148" s="2">
        <v>0.5</v>
      </c>
      <c r="J148" t="s">
        <v>82</v>
      </c>
      <c r="K148" t="s">
        <v>81</v>
      </c>
      <c r="L148" t="s">
        <v>14</v>
      </c>
      <c r="M148">
        <v>0</v>
      </c>
      <c r="N148">
        <v>4</v>
      </c>
      <c r="O148" t="s">
        <v>135</v>
      </c>
      <c r="P148" t="s">
        <v>14</v>
      </c>
      <c r="Q148" s="1" t="s">
        <v>68</v>
      </c>
      <c r="R148" t="s">
        <v>68</v>
      </c>
      <c r="S148" t="e">
        <f>IF(T148="","",INDEX('Backing 4'!U:U,MATCH(T148,'Backing 4'!T:T,0)))</f>
        <v>#N/A</v>
      </c>
      <c r="T148" t="str">
        <f t="shared" si="6"/>
        <v xml:space="preserve"> Manager &amp; Operations</v>
      </c>
      <c r="U148" t="e">
        <f>IF(V148="","",INDEX('Backing 4'!Z:Z,MATCH(V148,'Backing 4'!Y:Y,0)))</f>
        <v>#N/A</v>
      </c>
      <c r="V148" t="str">
        <f t="shared" si="7"/>
        <v xml:space="preserve"> Manager</v>
      </c>
      <c r="W148">
        <v>0</v>
      </c>
      <c r="X148" t="str">
        <f>IF(E148="Y","",IF(Y148="Y",INDEX('Backing 2'!B:B,MATCH(D148,'Backing 2'!C:C,0)),D148))</f>
        <v/>
      </c>
      <c r="Y148" t="s">
        <v>81</v>
      </c>
      <c r="Z148">
        <v>0</v>
      </c>
      <c r="AA148" t="s">
        <v>71</v>
      </c>
      <c r="AB148">
        <v>42</v>
      </c>
      <c r="AC148" t="s">
        <v>30</v>
      </c>
      <c r="AD148" t="s">
        <v>74</v>
      </c>
      <c r="AE148" t="s">
        <v>74</v>
      </c>
      <c r="AF148" s="3">
        <v>43922</v>
      </c>
      <c r="AG148">
        <v>0</v>
      </c>
      <c r="AH148">
        <f t="shared" ca="1" si="8"/>
        <v>0.95648742242121609</v>
      </c>
    </row>
    <row r="149" spans="1:34">
      <c r="A149">
        <v>148</v>
      </c>
      <c r="B149" t="s">
        <v>8</v>
      </c>
      <c r="C149">
        <v>6</v>
      </c>
      <c r="D149" t="s">
        <v>134</v>
      </c>
      <c r="E149" t="s">
        <v>81</v>
      </c>
      <c r="F149">
        <v>3</v>
      </c>
      <c r="G149" t="s">
        <v>82</v>
      </c>
      <c r="H149" t="s">
        <v>80</v>
      </c>
      <c r="I149" s="2">
        <v>0.5</v>
      </c>
      <c r="J149" t="s">
        <v>82</v>
      </c>
      <c r="K149" t="s">
        <v>79</v>
      </c>
      <c r="L149" t="s">
        <v>14</v>
      </c>
      <c r="M149">
        <v>0</v>
      </c>
      <c r="N149">
        <v>6</v>
      </c>
      <c r="O149" t="s">
        <v>134</v>
      </c>
      <c r="P149" t="s">
        <v>14</v>
      </c>
      <c r="Q149" s="1" t="s">
        <v>68</v>
      </c>
      <c r="R149" t="s">
        <v>68</v>
      </c>
      <c r="S149" t="e">
        <f>IF(T149="","",INDEX('Backing 4'!U:U,MATCH(T149,'Backing 4'!T:T,0)))</f>
        <v>#N/A</v>
      </c>
      <c r="T149" t="str">
        <f t="shared" si="6"/>
        <v xml:space="preserve"> Junior Officer &amp; Operations</v>
      </c>
      <c r="U149" t="e">
        <f>IF(V149="","",INDEX('Backing 4'!Z:Z,MATCH(V149,'Backing 4'!Y:Y,0)))</f>
        <v>#N/A</v>
      </c>
      <c r="V149" t="str">
        <f t="shared" si="7"/>
        <v xml:space="preserve"> Junior Officer</v>
      </c>
      <c r="W149">
        <v>2</v>
      </c>
      <c r="X149" t="str">
        <f>IF(E149="Y","",IF(Y149="Y",INDEX('Backing 2'!B:B,MATCH(D149,'Backing 2'!C:C,0)),D149))</f>
        <v xml:space="preserve"> Junior Officer</v>
      </c>
      <c r="Y149" t="s">
        <v>81</v>
      </c>
      <c r="Z149">
        <v>2</v>
      </c>
      <c r="AA149" t="s">
        <v>69</v>
      </c>
      <c r="AB149">
        <v>23</v>
      </c>
      <c r="AC149" t="s">
        <v>19</v>
      </c>
      <c r="AD149" t="s">
        <v>19</v>
      </c>
      <c r="AE149" t="s">
        <v>19</v>
      </c>
      <c r="AF149" s="3">
        <v>43191</v>
      </c>
      <c r="AG149">
        <v>2</v>
      </c>
      <c r="AH149">
        <f t="shared" ca="1" si="8"/>
        <v>0.97076670107668794</v>
      </c>
    </row>
    <row r="150" spans="1:34">
      <c r="A150">
        <v>149</v>
      </c>
      <c r="B150" t="s">
        <v>8</v>
      </c>
      <c r="C150">
        <v>4</v>
      </c>
      <c r="D150" t="s">
        <v>135</v>
      </c>
      <c r="E150" t="s">
        <v>81</v>
      </c>
      <c r="F150">
        <v>4</v>
      </c>
      <c r="G150" t="s">
        <v>82</v>
      </c>
      <c r="H150" t="s">
        <v>80</v>
      </c>
      <c r="I150" s="2">
        <v>0.5</v>
      </c>
      <c r="J150" t="s">
        <v>82</v>
      </c>
      <c r="K150" t="s">
        <v>79</v>
      </c>
      <c r="L150" t="s">
        <v>16</v>
      </c>
      <c r="M150">
        <v>0</v>
      </c>
      <c r="N150">
        <v>4</v>
      </c>
      <c r="O150" t="s">
        <v>135</v>
      </c>
      <c r="P150" t="s">
        <v>16</v>
      </c>
      <c r="Q150" s="1" t="s">
        <v>68</v>
      </c>
      <c r="R150" t="s">
        <v>68</v>
      </c>
      <c r="S150" t="e">
        <f>IF(T150="","",INDEX('Backing 4'!U:U,MATCH(T150,'Backing 4'!T:T,0)))</f>
        <v>#N/A</v>
      </c>
      <c r="T150" t="str">
        <f t="shared" si="6"/>
        <v xml:space="preserve"> Manager &amp; Sales &amp; Marketing</v>
      </c>
      <c r="U150" t="e">
        <f>IF(V150="","",INDEX('Backing 4'!Z:Z,MATCH(V150,'Backing 4'!Y:Y,0)))</f>
        <v>#N/A</v>
      </c>
      <c r="V150" t="str">
        <f t="shared" si="7"/>
        <v xml:space="preserve"> Manager</v>
      </c>
      <c r="W150">
        <v>2</v>
      </c>
      <c r="X150" t="str">
        <f>IF(E150="Y","",IF(Y150="Y",INDEX('Backing 2'!B:B,MATCH(D150,'Backing 2'!C:C,0)),D150))</f>
        <v xml:space="preserve"> Manager</v>
      </c>
      <c r="Y150" t="s">
        <v>81</v>
      </c>
      <c r="Z150">
        <v>3</v>
      </c>
      <c r="AA150" t="s">
        <v>70</v>
      </c>
      <c r="AB150">
        <v>36</v>
      </c>
      <c r="AC150" t="s">
        <v>30</v>
      </c>
      <c r="AD150" t="s">
        <v>74</v>
      </c>
      <c r="AE150" t="s">
        <v>74</v>
      </c>
      <c r="AF150" s="3">
        <v>42095</v>
      </c>
      <c r="AG150">
        <v>5</v>
      </c>
      <c r="AH150">
        <f t="shared" ca="1" si="8"/>
        <v>0.25870132418989389</v>
      </c>
    </row>
    <row r="151" spans="1:34">
      <c r="A151">
        <v>150</v>
      </c>
      <c r="B151" t="s">
        <v>8</v>
      </c>
      <c r="C151">
        <v>4</v>
      </c>
      <c r="D151" t="s">
        <v>135</v>
      </c>
      <c r="E151" t="s">
        <v>81</v>
      </c>
      <c r="F151">
        <v>2</v>
      </c>
      <c r="G151" t="s">
        <v>82</v>
      </c>
      <c r="H151" t="s">
        <v>80</v>
      </c>
      <c r="I151" s="2">
        <v>0.5</v>
      </c>
      <c r="J151" t="s">
        <v>82</v>
      </c>
      <c r="K151" t="s">
        <v>79</v>
      </c>
      <c r="L151" t="s">
        <v>14</v>
      </c>
      <c r="M151">
        <v>0</v>
      </c>
      <c r="N151">
        <v>4</v>
      </c>
      <c r="O151" t="s">
        <v>135</v>
      </c>
      <c r="P151" t="s">
        <v>14</v>
      </c>
      <c r="Q151" s="1" t="s">
        <v>68</v>
      </c>
      <c r="R151" t="s">
        <v>68</v>
      </c>
      <c r="S151" t="e">
        <f>IF(T151="","",INDEX('Backing 4'!U:U,MATCH(T151,'Backing 4'!T:T,0)))</f>
        <v>#N/A</v>
      </c>
      <c r="T151" t="str">
        <f t="shared" si="6"/>
        <v xml:space="preserve"> Manager &amp; Operations</v>
      </c>
      <c r="U151" t="e">
        <f>IF(V151="","",INDEX('Backing 4'!Z:Z,MATCH(V151,'Backing 4'!Y:Y,0)))</f>
        <v>#N/A</v>
      </c>
      <c r="V151" t="str">
        <f t="shared" si="7"/>
        <v xml:space="preserve"> Manager</v>
      </c>
      <c r="W151">
        <v>3</v>
      </c>
      <c r="X151" t="str">
        <f>IF(E151="Y","",IF(Y151="Y",INDEX('Backing 2'!B:B,MATCH(D151,'Backing 2'!C:C,0)),D151))</f>
        <v xml:space="preserve"> Manager</v>
      </c>
      <c r="Y151" t="s">
        <v>81</v>
      </c>
      <c r="Z151">
        <v>2</v>
      </c>
      <c r="AA151" t="s">
        <v>70</v>
      </c>
      <c r="AB151">
        <v>36</v>
      </c>
      <c r="AC151" t="s">
        <v>19</v>
      </c>
      <c r="AD151" t="s">
        <v>19</v>
      </c>
      <c r="AE151" t="s">
        <v>19</v>
      </c>
      <c r="AF151" s="3">
        <v>42461</v>
      </c>
      <c r="AG151">
        <v>4</v>
      </c>
      <c r="AH151">
        <f t="shared" ca="1" si="8"/>
        <v>0.83926589645198901</v>
      </c>
    </row>
    <row r="152" spans="1:34">
      <c r="A152">
        <v>151</v>
      </c>
      <c r="B152" t="s">
        <v>7</v>
      </c>
      <c r="C152">
        <v>5</v>
      </c>
      <c r="D152" t="s">
        <v>138</v>
      </c>
      <c r="E152" t="s">
        <v>81</v>
      </c>
      <c r="F152">
        <v>0</v>
      </c>
      <c r="G152" t="s">
        <v>82</v>
      </c>
      <c r="H152" t="s">
        <v>82</v>
      </c>
      <c r="I152" s="2">
        <v>0.5</v>
      </c>
      <c r="J152" t="s">
        <v>80</v>
      </c>
      <c r="K152" t="s">
        <v>79</v>
      </c>
      <c r="L152" t="s">
        <v>16</v>
      </c>
      <c r="M152" t="s">
        <v>83</v>
      </c>
      <c r="N152">
        <v>0</v>
      </c>
      <c r="O152" t="s">
        <v>142</v>
      </c>
      <c r="P152" t="s">
        <v>16</v>
      </c>
      <c r="Q152" s="1" t="s">
        <v>68</v>
      </c>
      <c r="R152" t="s">
        <v>68</v>
      </c>
      <c r="S152" t="e">
        <f>IF(T152="","",INDEX('Backing 4'!U:U,MATCH(T152,'Backing 4'!T:T,0)))</f>
        <v>#N/A</v>
      </c>
      <c r="T152" t="str">
        <f t="shared" si="6"/>
        <v xml:space="preserve"> Senior Officer &amp; Sales &amp; Marketing</v>
      </c>
      <c r="U152" t="e">
        <f>IF(V152="","",INDEX('Backing 4'!Z:Z,MATCH(V152,'Backing 4'!Y:Y,0)))</f>
        <v>#N/A</v>
      </c>
      <c r="V152" t="str">
        <f t="shared" si="7"/>
        <v xml:space="preserve"> Senior Officer</v>
      </c>
      <c r="W152">
        <v>3</v>
      </c>
      <c r="X152" t="str">
        <f>IF(E152="Y","",IF(Y152="Y",INDEX('Backing 2'!B:B,MATCH(D152,'Backing 2'!C:C,0)),D152))</f>
        <v xml:space="preserve"> Senior Officer</v>
      </c>
      <c r="Y152" t="s">
        <v>81</v>
      </c>
      <c r="Z152">
        <v>3</v>
      </c>
      <c r="AA152" t="s">
        <v>71</v>
      </c>
      <c r="AB152">
        <v>41</v>
      </c>
      <c r="AC152" t="s">
        <v>26</v>
      </c>
      <c r="AD152" t="s">
        <v>74</v>
      </c>
      <c r="AE152" t="s">
        <v>74</v>
      </c>
      <c r="AF152" s="3">
        <v>42461</v>
      </c>
      <c r="AG152">
        <v>4</v>
      </c>
      <c r="AH152">
        <f t="shared" ca="1" si="8"/>
        <v>0.92215132564010238</v>
      </c>
    </row>
    <row r="153" spans="1:34">
      <c r="A153">
        <v>152</v>
      </c>
      <c r="B153" t="s">
        <v>8</v>
      </c>
      <c r="C153">
        <v>2</v>
      </c>
      <c r="D153" t="s">
        <v>136</v>
      </c>
      <c r="E153" t="s">
        <v>81</v>
      </c>
      <c r="F153">
        <v>2</v>
      </c>
      <c r="G153" t="s">
        <v>82</v>
      </c>
      <c r="H153" t="s">
        <v>80</v>
      </c>
      <c r="I153" s="2">
        <v>0.5</v>
      </c>
      <c r="J153" t="s">
        <v>82</v>
      </c>
      <c r="K153" t="s">
        <v>79</v>
      </c>
      <c r="L153" t="s">
        <v>13</v>
      </c>
      <c r="M153">
        <v>0</v>
      </c>
      <c r="N153">
        <v>2</v>
      </c>
      <c r="O153" t="s">
        <v>136</v>
      </c>
      <c r="P153" t="s">
        <v>13</v>
      </c>
      <c r="Q153" s="1" t="s">
        <v>68</v>
      </c>
      <c r="R153" t="s">
        <v>68</v>
      </c>
      <c r="S153" t="e">
        <f>IF(T153="","",INDEX('Backing 4'!U:U,MATCH(T153,'Backing 4'!T:T,0)))</f>
        <v>#N/A</v>
      </c>
      <c r="T153" t="str">
        <f t="shared" si="6"/>
        <v xml:space="preserve"> Director &amp; HR</v>
      </c>
      <c r="U153" t="s">
        <v>120</v>
      </c>
      <c r="V153" t="str">
        <f t="shared" si="7"/>
        <v xml:space="preserve"> Director</v>
      </c>
      <c r="W153">
        <v>6</v>
      </c>
      <c r="X153" t="str">
        <f>IF(E153="Y","",IF(Y153="Y",INDEX('Backing 2'!B:B,MATCH(D153,'Backing 2'!C:C,0)),D153))</f>
        <v xml:space="preserve"> Director</v>
      </c>
      <c r="Y153" t="s">
        <v>81</v>
      </c>
      <c r="Z153">
        <v>3</v>
      </c>
      <c r="AA153" t="s">
        <v>71</v>
      </c>
      <c r="AB153">
        <v>42</v>
      </c>
      <c r="AC153" t="s">
        <v>31</v>
      </c>
      <c r="AD153" t="s">
        <v>74</v>
      </c>
      <c r="AE153" t="s">
        <v>74</v>
      </c>
      <c r="AF153" s="3">
        <v>41000</v>
      </c>
      <c r="AG153">
        <v>8</v>
      </c>
      <c r="AH153">
        <f t="shared" ca="1" si="8"/>
        <v>0.99200427043259998</v>
      </c>
    </row>
    <row r="154" spans="1:34">
      <c r="A154">
        <v>153</v>
      </c>
      <c r="B154" t="s">
        <v>7</v>
      </c>
      <c r="C154">
        <v>3</v>
      </c>
      <c r="D154" t="s">
        <v>137</v>
      </c>
      <c r="E154" t="s">
        <v>79</v>
      </c>
      <c r="F154">
        <v>0</v>
      </c>
      <c r="G154" t="s">
        <v>82</v>
      </c>
      <c r="H154" t="s">
        <v>82</v>
      </c>
      <c r="I154" s="2">
        <v>0.5</v>
      </c>
      <c r="J154" t="s">
        <v>82</v>
      </c>
      <c r="K154" t="s">
        <v>81</v>
      </c>
      <c r="L154" t="s">
        <v>16</v>
      </c>
      <c r="M154">
        <v>0</v>
      </c>
      <c r="N154">
        <v>3</v>
      </c>
      <c r="O154" t="s">
        <v>137</v>
      </c>
      <c r="P154" t="s">
        <v>16</v>
      </c>
      <c r="Q154" s="1" t="s">
        <v>68</v>
      </c>
      <c r="R154" t="s">
        <v>68</v>
      </c>
      <c r="S154" t="e">
        <f>IF(T154="","",INDEX('Backing 4'!U:U,MATCH(T154,'Backing 4'!T:T,0)))</f>
        <v>#N/A</v>
      </c>
      <c r="T154" t="str">
        <f t="shared" si="6"/>
        <v xml:space="preserve"> Senior Manager &amp; Sales &amp; Marketing</v>
      </c>
      <c r="U154" t="e">
        <f>IF(V154="","",INDEX('Backing 4'!Z:Z,MATCH(V154,'Backing 4'!Y:Y,0)))</f>
        <v>#N/A</v>
      </c>
      <c r="V154" t="str">
        <f t="shared" si="7"/>
        <v xml:space="preserve"> Senior Manager</v>
      </c>
      <c r="W154">
        <v>0</v>
      </c>
      <c r="X154" t="str">
        <f>IF(E154="Y","",IF(Y154="Y",INDEX('Backing 2'!B:B,MATCH(D154,'Backing 2'!C:C,0)),D154))</f>
        <v/>
      </c>
      <c r="Y154" t="s">
        <v>81</v>
      </c>
      <c r="Z154">
        <v>0</v>
      </c>
      <c r="AA154" t="s">
        <v>71</v>
      </c>
      <c r="AB154">
        <v>40</v>
      </c>
      <c r="AC154" t="s">
        <v>19</v>
      </c>
      <c r="AD154" t="s">
        <v>19</v>
      </c>
      <c r="AE154" t="s">
        <v>19</v>
      </c>
      <c r="AF154" s="3">
        <v>43922</v>
      </c>
      <c r="AG154">
        <v>0</v>
      </c>
      <c r="AH154">
        <f t="shared" ca="1" si="8"/>
        <v>0.25711025399522003</v>
      </c>
    </row>
    <row r="155" spans="1:34">
      <c r="A155">
        <v>154</v>
      </c>
      <c r="B155" t="s">
        <v>8</v>
      </c>
      <c r="C155">
        <v>6</v>
      </c>
      <c r="D155" t="s">
        <v>134</v>
      </c>
      <c r="E155" t="s">
        <v>81</v>
      </c>
      <c r="F155">
        <v>2</v>
      </c>
      <c r="G155" t="s">
        <v>82</v>
      </c>
      <c r="H155" t="s">
        <v>80</v>
      </c>
      <c r="I155" s="2">
        <v>0.5</v>
      </c>
      <c r="J155" t="s">
        <v>82</v>
      </c>
      <c r="K155" t="s">
        <v>79</v>
      </c>
      <c r="L155" t="s">
        <v>14</v>
      </c>
      <c r="M155">
        <v>0</v>
      </c>
      <c r="N155">
        <v>6</v>
      </c>
      <c r="O155" t="s">
        <v>134</v>
      </c>
      <c r="P155" t="s">
        <v>14</v>
      </c>
      <c r="Q155" s="1" t="s">
        <v>68</v>
      </c>
      <c r="R155" t="s">
        <v>68</v>
      </c>
      <c r="S155" t="e">
        <f>IF(T155="","",INDEX('Backing 4'!U:U,MATCH(T155,'Backing 4'!T:T,0)))</f>
        <v>#N/A</v>
      </c>
      <c r="T155" t="str">
        <f t="shared" si="6"/>
        <v xml:space="preserve"> Junior Officer &amp; Operations</v>
      </c>
      <c r="U155" t="e">
        <f>IF(V155="","",INDEX('Backing 4'!Z:Z,MATCH(V155,'Backing 4'!Y:Y,0)))</f>
        <v>#N/A</v>
      </c>
      <c r="V155" t="str">
        <f t="shared" si="7"/>
        <v xml:space="preserve"> Junior Officer</v>
      </c>
      <c r="W155">
        <v>1</v>
      </c>
      <c r="X155" t="str">
        <f>IF(E155="Y","",IF(Y155="Y",INDEX('Backing 2'!B:B,MATCH(D155,'Backing 2'!C:C,0)),D155))</f>
        <v xml:space="preserve"> Junior Officer</v>
      </c>
      <c r="Y155" t="s">
        <v>81</v>
      </c>
      <c r="Z155">
        <v>0</v>
      </c>
      <c r="AA155" t="s">
        <v>70</v>
      </c>
      <c r="AB155">
        <v>31</v>
      </c>
      <c r="AC155" t="s">
        <v>19</v>
      </c>
      <c r="AD155" t="s">
        <v>19</v>
      </c>
      <c r="AE155" t="s">
        <v>19</v>
      </c>
      <c r="AF155" s="3">
        <v>43556</v>
      </c>
      <c r="AG155">
        <v>1</v>
      </c>
      <c r="AH155">
        <f t="shared" ca="1" si="8"/>
        <v>0.41508590753062358</v>
      </c>
    </row>
    <row r="156" spans="1:34">
      <c r="A156">
        <v>155</v>
      </c>
      <c r="B156" t="s">
        <v>7</v>
      </c>
      <c r="C156">
        <v>6</v>
      </c>
      <c r="D156" t="s">
        <v>134</v>
      </c>
      <c r="E156" t="s">
        <v>81</v>
      </c>
      <c r="F156">
        <v>3</v>
      </c>
      <c r="G156" t="s">
        <v>82</v>
      </c>
      <c r="H156" t="s">
        <v>80</v>
      </c>
      <c r="I156" s="2">
        <v>0.5</v>
      </c>
      <c r="J156" t="s">
        <v>82</v>
      </c>
      <c r="K156" t="s">
        <v>79</v>
      </c>
      <c r="L156" t="s">
        <v>14</v>
      </c>
      <c r="M156">
        <v>0</v>
      </c>
      <c r="N156">
        <v>6</v>
      </c>
      <c r="O156" t="s">
        <v>134</v>
      </c>
      <c r="P156" t="s">
        <v>14</v>
      </c>
      <c r="Q156" s="1" t="s">
        <v>68</v>
      </c>
      <c r="R156" t="s">
        <v>68</v>
      </c>
      <c r="S156" t="e">
        <f>IF(T156="","",INDEX('Backing 4'!U:U,MATCH(T156,'Backing 4'!T:T,0)))</f>
        <v>#N/A</v>
      </c>
      <c r="T156" t="str">
        <f t="shared" si="6"/>
        <v xml:space="preserve"> Junior Officer &amp; Operations</v>
      </c>
      <c r="U156" t="e">
        <f>IF(V156="","",INDEX('Backing 4'!Z:Z,MATCH(V156,'Backing 4'!Y:Y,0)))</f>
        <v>#N/A</v>
      </c>
      <c r="V156" t="str">
        <f t="shared" si="7"/>
        <v xml:space="preserve"> Junior Officer</v>
      </c>
      <c r="W156">
        <v>2</v>
      </c>
      <c r="X156" t="str">
        <f>IF(E156="Y","",IF(Y156="Y",INDEX('Backing 2'!B:B,MATCH(D156,'Backing 2'!C:C,0)),D156))</f>
        <v xml:space="preserve"> Junior Officer</v>
      </c>
      <c r="Y156" t="s">
        <v>81</v>
      </c>
      <c r="Z156">
        <v>3</v>
      </c>
      <c r="AA156" t="s">
        <v>69</v>
      </c>
      <c r="AB156">
        <v>22</v>
      </c>
      <c r="AC156" t="s">
        <v>19</v>
      </c>
      <c r="AD156" t="s">
        <v>19</v>
      </c>
      <c r="AE156" t="s">
        <v>19</v>
      </c>
      <c r="AF156" s="3">
        <v>43191</v>
      </c>
      <c r="AG156">
        <v>2</v>
      </c>
      <c r="AH156">
        <f t="shared" ca="1" si="8"/>
        <v>0.94103822260076431</v>
      </c>
    </row>
    <row r="157" spans="1:34">
      <c r="A157">
        <v>156</v>
      </c>
      <c r="B157" t="s">
        <v>8</v>
      </c>
      <c r="C157">
        <v>6</v>
      </c>
      <c r="D157" s="4" t="s">
        <v>134</v>
      </c>
      <c r="E157" t="s">
        <v>81</v>
      </c>
      <c r="F157">
        <v>2</v>
      </c>
      <c r="G157" t="s">
        <v>82</v>
      </c>
      <c r="H157" t="s">
        <v>82</v>
      </c>
      <c r="I157" s="2">
        <v>0.5</v>
      </c>
      <c r="J157" t="s">
        <v>80</v>
      </c>
      <c r="K157" t="s">
        <v>79</v>
      </c>
      <c r="L157" t="s">
        <v>15</v>
      </c>
      <c r="M157" t="s">
        <v>83</v>
      </c>
      <c r="N157">
        <v>0</v>
      </c>
      <c r="O157" t="s">
        <v>142</v>
      </c>
      <c r="P157" t="s">
        <v>15</v>
      </c>
      <c r="Q157" s="1" t="s">
        <v>68</v>
      </c>
      <c r="R157" t="s">
        <v>68</v>
      </c>
      <c r="S157" t="e">
        <f>IF(T157="","",INDEX('Backing 4'!U:U,MATCH(T157,'Backing 4'!T:T,0)))</f>
        <v>#N/A</v>
      </c>
      <c r="T157" t="str">
        <f t="shared" si="6"/>
        <v xml:space="preserve"> Junior Officer &amp; Internal Services</v>
      </c>
      <c r="U157" t="e">
        <f>IF(V157="","",INDEX('Backing 4'!Z:Z,MATCH(V157,'Backing 4'!Y:Y,0)))</f>
        <v>#N/A</v>
      </c>
      <c r="V157" t="str">
        <f t="shared" si="7"/>
        <v xml:space="preserve"> Junior Officer</v>
      </c>
      <c r="W157">
        <v>5</v>
      </c>
      <c r="X157" t="str">
        <f>IF(E157="Y","",IF(Y157="Y",INDEX('Backing 2'!B:B,MATCH(D157,'Backing 2'!C:C,0)),D157))</f>
        <v xml:space="preserve"> Junior Officer</v>
      </c>
      <c r="Y157" t="s">
        <v>81</v>
      </c>
      <c r="Z157">
        <v>3</v>
      </c>
      <c r="AA157" t="s">
        <v>70</v>
      </c>
      <c r="AB157">
        <v>39</v>
      </c>
      <c r="AC157" t="s">
        <v>26</v>
      </c>
      <c r="AD157" t="s">
        <v>74</v>
      </c>
      <c r="AE157" t="s">
        <v>74</v>
      </c>
      <c r="AF157" s="3">
        <v>42095</v>
      </c>
      <c r="AG157">
        <v>5</v>
      </c>
      <c r="AH157">
        <f t="shared" ca="1" si="8"/>
        <v>0.51123202525422551</v>
      </c>
    </row>
    <row r="158" spans="1:34">
      <c r="A158">
        <v>157</v>
      </c>
      <c r="B158" t="s">
        <v>7</v>
      </c>
      <c r="C158">
        <v>5</v>
      </c>
      <c r="D158" t="s">
        <v>138</v>
      </c>
      <c r="E158" t="s">
        <v>79</v>
      </c>
      <c r="F158">
        <v>0</v>
      </c>
      <c r="G158" t="s">
        <v>82</v>
      </c>
      <c r="H158" t="s">
        <v>82</v>
      </c>
      <c r="I158" s="2">
        <v>0.5</v>
      </c>
      <c r="J158" t="s">
        <v>82</v>
      </c>
      <c r="K158" t="s">
        <v>81</v>
      </c>
      <c r="L158" t="s">
        <v>14</v>
      </c>
      <c r="M158">
        <v>0</v>
      </c>
      <c r="N158">
        <v>5</v>
      </c>
      <c r="O158" t="s">
        <v>138</v>
      </c>
      <c r="P158" t="s">
        <v>14</v>
      </c>
      <c r="Q158" s="1">
        <v>0.9</v>
      </c>
      <c r="R158" t="s">
        <v>67</v>
      </c>
      <c r="S158" t="e">
        <f>IF(T158="","",INDEX('Backing 4'!U:U,MATCH(T158,'Backing 4'!T:T,0)))</f>
        <v>#N/A</v>
      </c>
      <c r="T158" t="str">
        <f t="shared" si="6"/>
        <v xml:space="preserve"> Senior Officer &amp; Operations</v>
      </c>
      <c r="U158" t="e">
        <f>IF(V158="","",INDEX('Backing 4'!Z:Z,MATCH(V158,'Backing 4'!Y:Y,0)))</f>
        <v>#N/A</v>
      </c>
      <c r="V158" t="str">
        <f t="shared" si="7"/>
        <v xml:space="preserve"> Senior Officer</v>
      </c>
      <c r="W158">
        <v>0</v>
      </c>
      <c r="X158" t="str">
        <f>IF(E158="Y","",IF(Y158="Y",INDEX('Backing 2'!B:B,MATCH(D158,'Backing 2'!C:C,0)),D158))</f>
        <v/>
      </c>
      <c r="Y158" t="s">
        <v>81</v>
      </c>
      <c r="Z158">
        <v>0</v>
      </c>
      <c r="AA158" t="s">
        <v>69</v>
      </c>
      <c r="AB158">
        <v>28</v>
      </c>
      <c r="AC158" t="s">
        <v>19</v>
      </c>
      <c r="AD158" t="s">
        <v>19</v>
      </c>
      <c r="AE158" t="s">
        <v>19</v>
      </c>
      <c r="AF158" s="3">
        <v>43922</v>
      </c>
      <c r="AG158">
        <v>0</v>
      </c>
      <c r="AH158">
        <f t="shared" ca="1" si="8"/>
        <v>7.7238806634177148E-2</v>
      </c>
    </row>
    <row r="159" spans="1:34">
      <c r="A159">
        <v>158</v>
      </c>
      <c r="B159" t="s">
        <v>8</v>
      </c>
      <c r="C159">
        <v>6</v>
      </c>
      <c r="D159" t="s">
        <v>134</v>
      </c>
      <c r="E159" t="s">
        <v>81</v>
      </c>
      <c r="F159">
        <v>3</v>
      </c>
      <c r="G159" t="s">
        <v>82</v>
      </c>
      <c r="H159" t="s">
        <v>80</v>
      </c>
      <c r="I159" s="2">
        <v>0.5</v>
      </c>
      <c r="J159" t="s">
        <v>82</v>
      </c>
      <c r="K159" t="s">
        <v>79</v>
      </c>
      <c r="L159" t="s">
        <v>15</v>
      </c>
      <c r="M159">
        <v>0</v>
      </c>
      <c r="N159">
        <v>6</v>
      </c>
      <c r="O159" t="s">
        <v>134</v>
      </c>
      <c r="P159" t="s">
        <v>15</v>
      </c>
      <c r="Q159" s="1" t="s">
        <v>68</v>
      </c>
      <c r="R159" t="s">
        <v>68</v>
      </c>
      <c r="S159" t="e">
        <f>IF(T159="","",INDEX('Backing 4'!U:U,MATCH(T159,'Backing 4'!T:T,0)))</f>
        <v>#N/A</v>
      </c>
      <c r="T159" t="str">
        <f t="shared" si="6"/>
        <v xml:space="preserve"> Junior Officer &amp; Internal Services</v>
      </c>
      <c r="U159" t="e">
        <f>IF(V159="","",INDEX('Backing 4'!Z:Z,MATCH(V159,'Backing 4'!Y:Y,0)))</f>
        <v>#N/A</v>
      </c>
      <c r="V159" t="str">
        <f t="shared" si="7"/>
        <v xml:space="preserve"> Junior Officer</v>
      </c>
      <c r="W159">
        <v>3</v>
      </c>
      <c r="X159" t="str">
        <f>IF(E159="Y","",IF(Y159="Y",INDEX('Backing 2'!B:B,MATCH(D159,'Backing 2'!C:C,0)),D159))</f>
        <v xml:space="preserve"> Junior Officer</v>
      </c>
      <c r="Y159" t="s">
        <v>81</v>
      </c>
      <c r="Z159">
        <v>3</v>
      </c>
      <c r="AA159" t="s">
        <v>69</v>
      </c>
      <c r="AB159">
        <v>23</v>
      </c>
      <c r="AC159" t="s">
        <v>19</v>
      </c>
      <c r="AD159" t="s">
        <v>19</v>
      </c>
      <c r="AE159" t="s">
        <v>19</v>
      </c>
      <c r="AF159" s="3">
        <v>42826</v>
      </c>
      <c r="AG159">
        <v>3</v>
      </c>
      <c r="AH159">
        <f t="shared" ca="1" si="8"/>
        <v>0.91698020948259307</v>
      </c>
    </row>
    <row r="160" spans="1:34">
      <c r="A160">
        <v>159</v>
      </c>
      <c r="B160" t="s">
        <v>8</v>
      </c>
      <c r="C160">
        <v>3</v>
      </c>
      <c r="D160" t="s">
        <v>137</v>
      </c>
      <c r="E160" t="s">
        <v>81</v>
      </c>
      <c r="F160">
        <v>3</v>
      </c>
      <c r="G160" t="s">
        <v>82</v>
      </c>
      <c r="H160" t="s">
        <v>80</v>
      </c>
      <c r="I160" s="2">
        <v>0.5</v>
      </c>
      <c r="J160" t="s">
        <v>82</v>
      </c>
      <c r="K160" t="s">
        <v>79</v>
      </c>
      <c r="L160" t="s">
        <v>16</v>
      </c>
      <c r="M160">
        <v>0</v>
      </c>
      <c r="N160">
        <v>3</v>
      </c>
      <c r="O160" t="s">
        <v>137</v>
      </c>
      <c r="P160" t="s">
        <v>16</v>
      </c>
      <c r="Q160" s="1" t="s">
        <v>68</v>
      </c>
      <c r="R160" t="s">
        <v>68</v>
      </c>
      <c r="S160" t="e">
        <f>IF(T160="","",INDEX('Backing 4'!U:U,MATCH(T160,'Backing 4'!T:T,0)))</f>
        <v>#N/A</v>
      </c>
      <c r="T160" t="str">
        <f t="shared" si="6"/>
        <v xml:space="preserve"> Senior Manager &amp; Sales &amp; Marketing</v>
      </c>
      <c r="U160" t="e">
        <f>IF(V160="","",INDEX('Backing 4'!Z:Z,MATCH(V160,'Backing 4'!Y:Y,0)))</f>
        <v>#N/A</v>
      </c>
      <c r="V160" t="str">
        <f t="shared" si="7"/>
        <v xml:space="preserve"> Senior Manager</v>
      </c>
      <c r="W160">
        <v>3</v>
      </c>
      <c r="X160" t="str">
        <f>IF(E160="Y","",IF(Y160="Y",INDEX('Backing 2'!B:B,MATCH(D160,'Backing 2'!C:C,0)),D160))</f>
        <v xml:space="preserve"> Senior Manager</v>
      </c>
      <c r="Y160" t="s">
        <v>81</v>
      </c>
      <c r="Z160">
        <v>3</v>
      </c>
      <c r="AA160" t="s">
        <v>70</v>
      </c>
      <c r="AB160">
        <v>39</v>
      </c>
      <c r="AC160" t="s">
        <v>30</v>
      </c>
      <c r="AD160" t="s">
        <v>74</v>
      </c>
      <c r="AE160" t="s">
        <v>74</v>
      </c>
      <c r="AF160" s="3">
        <v>42826</v>
      </c>
      <c r="AG160">
        <v>3</v>
      </c>
      <c r="AH160">
        <f t="shared" ca="1" si="8"/>
        <v>0.44998479104757538</v>
      </c>
    </row>
    <row r="161" spans="1:34">
      <c r="A161">
        <v>160</v>
      </c>
      <c r="B161" t="s">
        <v>8</v>
      </c>
      <c r="C161">
        <v>3</v>
      </c>
      <c r="D161" t="s">
        <v>137</v>
      </c>
      <c r="E161" t="s">
        <v>81</v>
      </c>
      <c r="F161">
        <v>1</v>
      </c>
      <c r="G161" t="s">
        <v>82</v>
      </c>
      <c r="H161" t="s">
        <v>80</v>
      </c>
      <c r="I161" s="2">
        <v>0.5</v>
      </c>
      <c r="J161" t="s">
        <v>82</v>
      </c>
      <c r="K161" t="s">
        <v>79</v>
      </c>
      <c r="L161" t="s">
        <v>16</v>
      </c>
      <c r="M161">
        <v>0</v>
      </c>
      <c r="N161">
        <v>3</v>
      </c>
      <c r="O161" t="s">
        <v>137</v>
      </c>
      <c r="P161" t="s">
        <v>16</v>
      </c>
      <c r="Q161" s="1" t="s">
        <v>68</v>
      </c>
      <c r="R161" t="s">
        <v>68</v>
      </c>
      <c r="S161" t="e">
        <f>IF(T161="","",INDEX('Backing 4'!U:U,MATCH(T161,'Backing 4'!T:T,0)))</f>
        <v>#N/A</v>
      </c>
      <c r="T161" t="str">
        <f t="shared" si="6"/>
        <v xml:space="preserve"> Senior Manager &amp; Sales &amp; Marketing</v>
      </c>
      <c r="U161" t="e">
        <f>IF(V161="","",INDEX('Backing 4'!Z:Z,MATCH(V161,'Backing 4'!Y:Y,0)))</f>
        <v>#N/A</v>
      </c>
      <c r="V161" t="str">
        <f t="shared" si="7"/>
        <v xml:space="preserve"> Senior Manager</v>
      </c>
      <c r="W161">
        <v>1</v>
      </c>
      <c r="X161" t="e">
        <f>IF(E161="Y","",IF(Y161="Y",INDEX('Backing 2'!B:B,MATCH(D161,'Backing 2'!C:C,0)),D161))</f>
        <v>#N/A</v>
      </c>
      <c r="Y161" t="s">
        <v>79</v>
      </c>
      <c r="Z161">
        <v>2</v>
      </c>
      <c r="AA161" t="s">
        <v>70</v>
      </c>
      <c r="AB161">
        <v>35</v>
      </c>
      <c r="AC161" t="s">
        <v>19</v>
      </c>
      <c r="AD161" t="s">
        <v>19</v>
      </c>
      <c r="AE161" t="s">
        <v>19</v>
      </c>
      <c r="AF161" s="3">
        <v>42826</v>
      </c>
      <c r="AG161">
        <v>3</v>
      </c>
      <c r="AH161">
        <f t="shared" ca="1" si="8"/>
        <v>0.64954352615399191</v>
      </c>
    </row>
    <row r="162" spans="1:34">
      <c r="A162">
        <v>161</v>
      </c>
      <c r="B162" t="s">
        <v>8</v>
      </c>
      <c r="C162">
        <v>4</v>
      </c>
      <c r="D162" t="s">
        <v>135</v>
      </c>
      <c r="E162" t="s">
        <v>81</v>
      </c>
      <c r="F162">
        <v>2</v>
      </c>
      <c r="G162" t="s">
        <v>82</v>
      </c>
      <c r="H162" t="s">
        <v>80</v>
      </c>
      <c r="I162" s="2">
        <v>0.5</v>
      </c>
      <c r="J162" t="s">
        <v>82</v>
      </c>
      <c r="K162" t="s">
        <v>79</v>
      </c>
      <c r="L162" t="s">
        <v>14</v>
      </c>
      <c r="M162">
        <v>0</v>
      </c>
      <c r="N162">
        <v>4</v>
      </c>
      <c r="O162" t="s">
        <v>135</v>
      </c>
      <c r="P162" t="s">
        <v>14</v>
      </c>
      <c r="Q162" s="1" t="s">
        <v>68</v>
      </c>
      <c r="R162" t="s">
        <v>68</v>
      </c>
      <c r="S162" t="e">
        <f>IF(T162="","",INDEX('Backing 4'!U:U,MATCH(T162,'Backing 4'!T:T,0)))</f>
        <v>#N/A</v>
      </c>
      <c r="T162" t="str">
        <f t="shared" si="6"/>
        <v xml:space="preserve"> Manager &amp; Operations</v>
      </c>
      <c r="U162" t="e">
        <f>IF(V162="","",INDEX('Backing 4'!Z:Z,MATCH(V162,'Backing 4'!Y:Y,0)))</f>
        <v>#N/A</v>
      </c>
      <c r="V162" t="str">
        <f t="shared" si="7"/>
        <v xml:space="preserve"> Manager</v>
      </c>
      <c r="W162">
        <v>2</v>
      </c>
      <c r="X162" t="str">
        <f>IF(E162="Y","",IF(Y162="Y",INDEX('Backing 2'!B:B,MATCH(D162,'Backing 2'!C:C,0)),D162))</f>
        <v xml:space="preserve"> Manager</v>
      </c>
      <c r="Y162" t="s">
        <v>81</v>
      </c>
      <c r="Z162">
        <v>3</v>
      </c>
      <c r="AA162" t="s">
        <v>70</v>
      </c>
      <c r="AB162">
        <v>35</v>
      </c>
      <c r="AC162" t="s">
        <v>19</v>
      </c>
      <c r="AD162" t="s">
        <v>19</v>
      </c>
      <c r="AE162" t="s">
        <v>19</v>
      </c>
      <c r="AF162" s="3">
        <v>40634</v>
      </c>
      <c r="AG162">
        <v>9</v>
      </c>
      <c r="AH162">
        <f t="shared" ca="1" si="8"/>
        <v>0.68602420929389829</v>
      </c>
    </row>
    <row r="163" spans="1:34">
      <c r="A163">
        <v>162</v>
      </c>
      <c r="B163" t="s">
        <v>8</v>
      </c>
      <c r="C163">
        <v>6</v>
      </c>
      <c r="D163" t="s">
        <v>134</v>
      </c>
      <c r="E163" t="s">
        <v>81</v>
      </c>
      <c r="F163">
        <v>2</v>
      </c>
      <c r="G163" t="s">
        <v>82</v>
      </c>
      <c r="H163" t="s">
        <v>80</v>
      </c>
      <c r="I163" s="2">
        <v>0.5</v>
      </c>
      <c r="J163" t="s">
        <v>82</v>
      </c>
      <c r="K163" t="s">
        <v>79</v>
      </c>
      <c r="L163" t="s">
        <v>14</v>
      </c>
      <c r="M163">
        <v>0</v>
      </c>
      <c r="N163">
        <v>6</v>
      </c>
      <c r="O163" t="s">
        <v>134</v>
      </c>
      <c r="P163" t="s">
        <v>14</v>
      </c>
      <c r="Q163" s="1" t="s">
        <v>68</v>
      </c>
      <c r="R163" t="s">
        <v>68</v>
      </c>
      <c r="S163" t="e">
        <f>IF(T163="","",INDEX('Backing 4'!U:U,MATCH(T163,'Backing 4'!T:T,0)))</f>
        <v>#N/A</v>
      </c>
      <c r="T163" t="str">
        <f t="shared" si="6"/>
        <v xml:space="preserve"> Junior Officer &amp; Operations</v>
      </c>
      <c r="U163" t="e">
        <f>IF(V163="","",INDEX('Backing 4'!Z:Z,MATCH(V163,'Backing 4'!Y:Y,0)))</f>
        <v>#N/A</v>
      </c>
      <c r="V163" t="str">
        <f t="shared" si="7"/>
        <v xml:space="preserve"> Junior Officer</v>
      </c>
      <c r="W163">
        <v>3</v>
      </c>
      <c r="X163" t="str">
        <f>IF(E163="Y","",IF(Y163="Y",INDEX('Backing 2'!B:B,MATCH(D163,'Backing 2'!C:C,0)),D163))</f>
        <v xml:space="preserve"> Junior Officer</v>
      </c>
      <c r="Y163" t="s">
        <v>81</v>
      </c>
      <c r="Z163">
        <v>3</v>
      </c>
      <c r="AA163" t="s">
        <v>69</v>
      </c>
      <c r="AB163">
        <v>26</v>
      </c>
      <c r="AC163" t="s">
        <v>31</v>
      </c>
      <c r="AD163" t="s">
        <v>74</v>
      </c>
      <c r="AE163" t="s">
        <v>74</v>
      </c>
      <c r="AF163" s="3">
        <v>42826</v>
      </c>
      <c r="AG163">
        <v>3</v>
      </c>
      <c r="AH163">
        <f t="shared" ca="1" si="8"/>
        <v>0.18219900763864083</v>
      </c>
    </row>
    <row r="164" spans="1:34">
      <c r="A164">
        <v>163</v>
      </c>
      <c r="B164" t="s">
        <v>8</v>
      </c>
      <c r="C164">
        <v>4</v>
      </c>
      <c r="D164" t="s">
        <v>135</v>
      </c>
      <c r="E164" t="s">
        <v>81</v>
      </c>
      <c r="F164">
        <v>3</v>
      </c>
      <c r="G164" t="s">
        <v>82</v>
      </c>
      <c r="H164" t="s">
        <v>80</v>
      </c>
      <c r="I164" s="2">
        <v>0.5</v>
      </c>
      <c r="J164" t="s">
        <v>82</v>
      </c>
      <c r="K164" t="s">
        <v>79</v>
      </c>
      <c r="L164" t="s">
        <v>12</v>
      </c>
      <c r="M164">
        <v>0</v>
      </c>
      <c r="N164">
        <v>4</v>
      </c>
      <c r="O164" t="s">
        <v>135</v>
      </c>
      <c r="P164" t="s">
        <v>12</v>
      </c>
      <c r="Q164" s="1" t="s">
        <v>68</v>
      </c>
      <c r="R164" t="s">
        <v>68</v>
      </c>
      <c r="S164" t="e">
        <f>IF(T164="","",INDEX('Backing 4'!U:U,MATCH(T164,'Backing 4'!T:T,0)))</f>
        <v>#N/A</v>
      </c>
      <c r="T164" t="str">
        <f t="shared" si="6"/>
        <v xml:space="preserve"> Manager &amp; Finance</v>
      </c>
      <c r="U164" t="e">
        <f>IF(V164="","",INDEX('Backing 4'!Z:Z,MATCH(V164,'Backing 4'!Y:Y,0)))</f>
        <v>#N/A</v>
      </c>
      <c r="V164" t="str">
        <f t="shared" si="7"/>
        <v xml:space="preserve"> Manager</v>
      </c>
      <c r="W164">
        <v>3</v>
      </c>
      <c r="X164" t="str">
        <f>IF(E164="Y","",IF(Y164="Y",INDEX('Backing 2'!B:B,MATCH(D164,'Backing 2'!C:C,0)),D164))</f>
        <v xml:space="preserve"> Manager</v>
      </c>
      <c r="Y164" t="s">
        <v>81</v>
      </c>
      <c r="Z164">
        <v>3</v>
      </c>
      <c r="AA164" t="s">
        <v>70</v>
      </c>
      <c r="AB164">
        <v>36</v>
      </c>
      <c r="AC164" t="s">
        <v>19</v>
      </c>
      <c r="AD164" t="s">
        <v>19</v>
      </c>
      <c r="AE164" t="s">
        <v>19</v>
      </c>
      <c r="AF164" s="3">
        <v>42826</v>
      </c>
      <c r="AG164">
        <v>3</v>
      </c>
      <c r="AH164">
        <f t="shared" ca="1" si="8"/>
        <v>0.54395747633648961</v>
      </c>
    </row>
    <row r="165" spans="1:34">
      <c r="A165">
        <v>164</v>
      </c>
      <c r="B165" t="s">
        <v>8</v>
      </c>
      <c r="C165">
        <v>5</v>
      </c>
      <c r="D165" s="4" t="s">
        <v>138</v>
      </c>
      <c r="E165" t="s">
        <v>81</v>
      </c>
      <c r="F165">
        <v>3</v>
      </c>
      <c r="G165" t="s">
        <v>82</v>
      </c>
      <c r="H165" t="s">
        <v>82</v>
      </c>
      <c r="I165" s="2">
        <v>0.5</v>
      </c>
      <c r="J165" t="s">
        <v>80</v>
      </c>
      <c r="K165" t="s">
        <v>79</v>
      </c>
      <c r="L165" t="s">
        <v>14</v>
      </c>
      <c r="M165" t="s">
        <v>83</v>
      </c>
      <c r="N165">
        <v>0</v>
      </c>
      <c r="O165" t="s">
        <v>142</v>
      </c>
      <c r="P165" t="s">
        <v>14</v>
      </c>
      <c r="Q165" s="1" t="s">
        <v>68</v>
      </c>
      <c r="R165" t="s">
        <v>68</v>
      </c>
      <c r="S165" t="e">
        <f>IF(T165="","",INDEX('Backing 4'!U:U,MATCH(T165,'Backing 4'!T:T,0)))</f>
        <v>#N/A</v>
      </c>
      <c r="T165" t="str">
        <f t="shared" si="6"/>
        <v xml:space="preserve"> Senior Officer &amp; Operations</v>
      </c>
      <c r="U165" t="e">
        <f>IF(V165="","",INDEX('Backing 4'!Z:Z,MATCH(V165,'Backing 4'!Y:Y,0)))</f>
        <v>#N/A</v>
      </c>
      <c r="V165" t="str">
        <f t="shared" si="7"/>
        <v xml:space="preserve"> Senior Officer</v>
      </c>
      <c r="W165">
        <v>7</v>
      </c>
      <c r="X165" t="str">
        <f>IF(E165="Y","",IF(Y165="Y",INDEX('Backing 2'!B:B,MATCH(D165,'Backing 2'!C:C,0)),D165))</f>
        <v xml:space="preserve"> Senior Officer</v>
      </c>
      <c r="Y165" t="s">
        <v>81</v>
      </c>
      <c r="Z165">
        <v>3</v>
      </c>
      <c r="AA165" t="s">
        <v>72</v>
      </c>
      <c r="AB165">
        <v>56</v>
      </c>
      <c r="AC165" t="s">
        <v>32</v>
      </c>
      <c r="AD165" t="s">
        <v>74</v>
      </c>
      <c r="AE165" t="s">
        <v>74</v>
      </c>
      <c r="AF165" s="3">
        <v>40634</v>
      </c>
      <c r="AG165">
        <v>9</v>
      </c>
      <c r="AH165">
        <f t="shared" ca="1" si="8"/>
        <v>0.21009142680187753</v>
      </c>
    </row>
    <row r="166" spans="1:34">
      <c r="A166">
        <v>165</v>
      </c>
      <c r="B166" t="s">
        <v>7</v>
      </c>
      <c r="C166">
        <v>6</v>
      </c>
      <c r="D166" t="s">
        <v>134</v>
      </c>
      <c r="E166" t="s">
        <v>81</v>
      </c>
      <c r="F166">
        <v>3</v>
      </c>
      <c r="G166" t="s">
        <v>82</v>
      </c>
      <c r="H166" t="s">
        <v>80</v>
      </c>
      <c r="I166" s="2">
        <v>0.5</v>
      </c>
      <c r="J166" t="s">
        <v>82</v>
      </c>
      <c r="K166" t="s">
        <v>79</v>
      </c>
      <c r="L166" t="s">
        <v>14</v>
      </c>
      <c r="M166">
        <v>0</v>
      </c>
      <c r="N166">
        <v>6</v>
      </c>
      <c r="O166" t="s">
        <v>134</v>
      </c>
      <c r="P166" t="s">
        <v>14</v>
      </c>
      <c r="Q166" s="1" t="s">
        <v>68</v>
      </c>
      <c r="R166" t="s">
        <v>68</v>
      </c>
      <c r="S166" t="e">
        <f>IF(T166="","",INDEX('Backing 4'!U:U,MATCH(T166,'Backing 4'!T:T,0)))</f>
        <v>#N/A</v>
      </c>
      <c r="T166" t="str">
        <f t="shared" si="6"/>
        <v xml:space="preserve"> Junior Officer &amp; Operations</v>
      </c>
      <c r="U166" t="e">
        <f>IF(V166="","",INDEX('Backing 4'!Z:Z,MATCH(V166,'Backing 4'!Y:Y,0)))</f>
        <v>#N/A</v>
      </c>
      <c r="V166" t="str">
        <f t="shared" si="7"/>
        <v xml:space="preserve"> Junior Officer</v>
      </c>
      <c r="W166">
        <v>1</v>
      </c>
      <c r="X166" t="str">
        <f>IF(E166="Y","",IF(Y166="Y",INDEX('Backing 2'!B:B,MATCH(D166,'Backing 2'!C:C,0)),D166))</f>
        <v xml:space="preserve"> Junior Officer</v>
      </c>
      <c r="Y166" t="s">
        <v>81</v>
      </c>
      <c r="Z166">
        <v>0</v>
      </c>
      <c r="AA166" t="s">
        <v>69</v>
      </c>
      <c r="AB166">
        <v>26</v>
      </c>
      <c r="AC166" t="s">
        <v>31</v>
      </c>
      <c r="AD166" t="s">
        <v>74</v>
      </c>
      <c r="AE166" t="s">
        <v>74</v>
      </c>
      <c r="AF166" s="3">
        <v>43556</v>
      </c>
      <c r="AG166">
        <v>1</v>
      </c>
      <c r="AH166">
        <f t="shared" ca="1" si="8"/>
        <v>0.23160122465914634</v>
      </c>
    </row>
    <row r="167" spans="1:34">
      <c r="A167">
        <v>166</v>
      </c>
      <c r="B167" t="s">
        <v>8</v>
      </c>
      <c r="C167">
        <v>5</v>
      </c>
      <c r="D167" t="s">
        <v>138</v>
      </c>
      <c r="E167" t="s">
        <v>81</v>
      </c>
      <c r="F167">
        <v>2</v>
      </c>
      <c r="G167" t="s">
        <v>82</v>
      </c>
      <c r="H167" t="s">
        <v>80</v>
      </c>
      <c r="I167" s="2">
        <v>0.5</v>
      </c>
      <c r="J167" t="s">
        <v>82</v>
      </c>
      <c r="K167" t="s">
        <v>79</v>
      </c>
      <c r="L167" t="s">
        <v>16</v>
      </c>
      <c r="M167">
        <v>0</v>
      </c>
      <c r="N167">
        <v>5</v>
      </c>
      <c r="O167" t="s">
        <v>138</v>
      </c>
      <c r="P167" t="s">
        <v>16</v>
      </c>
      <c r="Q167" s="1" t="s">
        <v>68</v>
      </c>
      <c r="R167" t="s">
        <v>68</v>
      </c>
      <c r="S167" t="e">
        <f>IF(T167="","",INDEX('Backing 4'!U:U,MATCH(T167,'Backing 4'!T:T,0)))</f>
        <v>#N/A</v>
      </c>
      <c r="T167" t="str">
        <f t="shared" si="6"/>
        <v xml:space="preserve"> Senior Officer &amp; Sales &amp; Marketing</v>
      </c>
      <c r="U167" t="e">
        <f>IF(V167="","",INDEX('Backing 4'!Z:Z,MATCH(V167,'Backing 4'!Y:Y,0)))</f>
        <v>#N/A</v>
      </c>
      <c r="V167" t="str">
        <f t="shared" si="7"/>
        <v xml:space="preserve"> Senior Officer</v>
      </c>
      <c r="W167">
        <v>3</v>
      </c>
      <c r="X167" t="str">
        <f>IF(E167="Y","",IF(Y167="Y",INDEX('Backing 2'!B:B,MATCH(D167,'Backing 2'!C:C,0)),D167))</f>
        <v xml:space="preserve"> Senior Officer</v>
      </c>
      <c r="Y167" t="s">
        <v>81</v>
      </c>
      <c r="Z167">
        <v>2</v>
      </c>
      <c r="AA167" t="s">
        <v>69</v>
      </c>
      <c r="AB167">
        <v>24</v>
      </c>
      <c r="AC167" t="s">
        <v>19</v>
      </c>
      <c r="AD167" t="s">
        <v>19</v>
      </c>
      <c r="AE167" t="s">
        <v>19</v>
      </c>
      <c r="AF167" s="3">
        <v>41365</v>
      </c>
      <c r="AG167">
        <v>7</v>
      </c>
      <c r="AH167">
        <f t="shared" ca="1" si="8"/>
        <v>0.3780984470959986</v>
      </c>
    </row>
    <row r="168" spans="1:34">
      <c r="A168">
        <v>167</v>
      </c>
      <c r="B168" t="s">
        <v>8</v>
      </c>
      <c r="C168">
        <v>3</v>
      </c>
      <c r="D168" t="s">
        <v>137</v>
      </c>
      <c r="E168" t="s">
        <v>81</v>
      </c>
      <c r="F168">
        <v>2</v>
      </c>
      <c r="G168" t="s">
        <v>82</v>
      </c>
      <c r="H168" t="s">
        <v>80</v>
      </c>
      <c r="I168" s="2">
        <v>0.5</v>
      </c>
      <c r="J168" t="s">
        <v>82</v>
      </c>
      <c r="K168" t="s">
        <v>79</v>
      </c>
      <c r="L168" t="s">
        <v>15</v>
      </c>
      <c r="M168">
        <v>0</v>
      </c>
      <c r="N168">
        <v>3</v>
      </c>
      <c r="O168" t="s">
        <v>137</v>
      </c>
      <c r="P168" t="s">
        <v>15</v>
      </c>
      <c r="Q168" s="1" t="s">
        <v>68</v>
      </c>
      <c r="R168" t="s">
        <v>68</v>
      </c>
      <c r="S168" t="e">
        <f>IF(T168="","",INDEX('Backing 4'!U:U,MATCH(T168,'Backing 4'!T:T,0)))</f>
        <v>#N/A</v>
      </c>
      <c r="T168" t="str">
        <f t="shared" si="6"/>
        <v xml:space="preserve"> Senior Manager &amp; Internal Services</v>
      </c>
      <c r="U168" t="e">
        <f>IF(V168="","",INDEX('Backing 4'!Z:Z,MATCH(V168,'Backing 4'!Y:Y,0)))</f>
        <v>#N/A</v>
      </c>
      <c r="V168" t="str">
        <f t="shared" si="7"/>
        <v xml:space="preserve"> Senior Manager</v>
      </c>
      <c r="W168">
        <v>2</v>
      </c>
      <c r="X168" t="str">
        <f>IF(E168="Y","",IF(Y168="Y",INDEX('Backing 2'!B:B,MATCH(D168,'Backing 2'!C:C,0)),D168))</f>
        <v xml:space="preserve"> Senior Manager</v>
      </c>
      <c r="Y168" t="s">
        <v>81</v>
      </c>
      <c r="Z168">
        <v>3</v>
      </c>
      <c r="AA168" t="s">
        <v>71</v>
      </c>
      <c r="AB168">
        <v>40</v>
      </c>
      <c r="AC168" t="s">
        <v>30</v>
      </c>
      <c r="AD168" t="s">
        <v>74</v>
      </c>
      <c r="AE168" t="s">
        <v>74</v>
      </c>
      <c r="AF168" s="3">
        <v>42826</v>
      </c>
      <c r="AG168">
        <v>3</v>
      </c>
      <c r="AH168">
        <f t="shared" ca="1" si="8"/>
        <v>0.84770546562395199</v>
      </c>
    </row>
    <row r="169" spans="1:34">
      <c r="A169">
        <v>168</v>
      </c>
      <c r="B169" t="s">
        <v>8</v>
      </c>
      <c r="C169">
        <v>5</v>
      </c>
      <c r="D169" t="s">
        <v>138</v>
      </c>
      <c r="E169" t="s">
        <v>81</v>
      </c>
      <c r="F169">
        <v>2</v>
      </c>
      <c r="G169" t="s">
        <v>82</v>
      </c>
      <c r="H169" t="s">
        <v>80</v>
      </c>
      <c r="I169" s="2">
        <v>0.5</v>
      </c>
      <c r="J169" t="s">
        <v>82</v>
      </c>
      <c r="K169" t="s">
        <v>79</v>
      </c>
      <c r="L169" t="s">
        <v>16</v>
      </c>
      <c r="M169">
        <v>0</v>
      </c>
      <c r="N169">
        <v>5</v>
      </c>
      <c r="O169" t="s">
        <v>138</v>
      </c>
      <c r="P169" t="s">
        <v>16</v>
      </c>
      <c r="Q169" s="1" t="s">
        <v>68</v>
      </c>
      <c r="R169" t="s">
        <v>68</v>
      </c>
      <c r="S169" t="e">
        <f>IF(T169="","",INDEX('Backing 4'!U:U,MATCH(T169,'Backing 4'!T:T,0)))</f>
        <v>#N/A</v>
      </c>
      <c r="T169" t="str">
        <f t="shared" si="6"/>
        <v xml:space="preserve"> Senior Officer &amp; Sales &amp; Marketing</v>
      </c>
      <c r="U169" t="e">
        <f>IF(V169="","",INDEX('Backing 4'!Z:Z,MATCH(V169,'Backing 4'!Y:Y,0)))</f>
        <v>#N/A</v>
      </c>
      <c r="V169" t="str">
        <f t="shared" si="7"/>
        <v xml:space="preserve"> Senior Officer</v>
      </c>
      <c r="W169">
        <v>3</v>
      </c>
      <c r="X169" t="str">
        <f>IF(E169="Y","",IF(Y169="Y",INDEX('Backing 2'!B:B,MATCH(D169,'Backing 2'!C:C,0)),D169))</f>
        <v xml:space="preserve"> Senior Officer</v>
      </c>
      <c r="Y169" t="s">
        <v>81</v>
      </c>
      <c r="Z169">
        <v>2</v>
      </c>
      <c r="AA169" t="s">
        <v>69</v>
      </c>
      <c r="AB169">
        <v>25</v>
      </c>
      <c r="AC169" t="s">
        <v>31</v>
      </c>
      <c r="AD169" t="s">
        <v>74</v>
      </c>
      <c r="AE169" t="s">
        <v>74</v>
      </c>
      <c r="AF169" s="3">
        <v>40634</v>
      </c>
      <c r="AG169">
        <v>9</v>
      </c>
      <c r="AH169">
        <f t="shared" ca="1" si="8"/>
        <v>0.51532239613608499</v>
      </c>
    </row>
    <row r="170" spans="1:34">
      <c r="A170">
        <v>169</v>
      </c>
      <c r="B170" t="s">
        <v>7</v>
      </c>
      <c r="C170">
        <v>5</v>
      </c>
      <c r="D170" t="s">
        <v>138</v>
      </c>
      <c r="E170" t="s">
        <v>81</v>
      </c>
      <c r="F170">
        <v>1</v>
      </c>
      <c r="G170" t="s">
        <v>82</v>
      </c>
      <c r="H170" t="s">
        <v>80</v>
      </c>
      <c r="I170" s="2">
        <v>0.5</v>
      </c>
      <c r="J170" t="s">
        <v>82</v>
      </c>
      <c r="K170" t="s">
        <v>79</v>
      </c>
      <c r="L170" t="s">
        <v>16</v>
      </c>
      <c r="M170">
        <v>0</v>
      </c>
      <c r="N170">
        <v>5</v>
      </c>
      <c r="O170" t="s">
        <v>138</v>
      </c>
      <c r="P170" t="s">
        <v>16</v>
      </c>
      <c r="Q170" s="1" t="s">
        <v>68</v>
      </c>
      <c r="R170" t="s">
        <v>68</v>
      </c>
      <c r="S170" t="e">
        <f>IF(T170="","",INDEX('Backing 4'!U:U,MATCH(T170,'Backing 4'!T:T,0)))</f>
        <v>#N/A</v>
      </c>
      <c r="T170" t="str">
        <f t="shared" si="6"/>
        <v xml:space="preserve"> Senior Officer &amp; Sales &amp; Marketing</v>
      </c>
      <c r="U170" t="e">
        <f>IF(V170="","",INDEX('Backing 4'!Z:Z,MATCH(V170,'Backing 4'!Y:Y,0)))</f>
        <v>#N/A</v>
      </c>
      <c r="V170" t="str">
        <f t="shared" si="7"/>
        <v xml:space="preserve"> Senior Officer</v>
      </c>
      <c r="W170">
        <v>2</v>
      </c>
      <c r="X170" t="str">
        <f>IF(E170="Y","",IF(Y170="Y",INDEX('Backing 2'!B:B,MATCH(D170,'Backing 2'!C:C,0)),D170))</f>
        <v xml:space="preserve"> Senior Officer</v>
      </c>
      <c r="Y170" t="s">
        <v>81</v>
      </c>
      <c r="Z170">
        <v>3</v>
      </c>
      <c r="AA170" t="s">
        <v>70</v>
      </c>
      <c r="AB170">
        <v>32</v>
      </c>
      <c r="AC170" t="s">
        <v>31</v>
      </c>
      <c r="AD170" t="s">
        <v>74</v>
      </c>
      <c r="AE170" t="s">
        <v>74</v>
      </c>
      <c r="AF170" s="3">
        <v>43191</v>
      </c>
      <c r="AG170">
        <v>2</v>
      </c>
      <c r="AH170">
        <f t="shared" ca="1" si="8"/>
        <v>0.9544723661009229</v>
      </c>
    </row>
    <row r="171" spans="1:34">
      <c r="A171">
        <v>170</v>
      </c>
      <c r="B171" t="s">
        <v>8</v>
      </c>
      <c r="C171">
        <v>4</v>
      </c>
      <c r="D171" t="s">
        <v>135</v>
      </c>
      <c r="E171" t="s">
        <v>81</v>
      </c>
      <c r="F171">
        <v>2</v>
      </c>
      <c r="G171" t="s">
        <v>82</v>
      </c>
      <c r="H171" t="s">
        <v>80</v>
      </c>
      <c r="I171" s="2">
        <v>0.5</v>
      </c>
      <c r="J171" t="s">
        <v>82</v>
      </c>
      <c r="K171" t="s">
        <v>79</v>
      </c>
      <c r="L171" t="s">
        <v>16</v>
      </c>
      <c r="M171">
        <v>0</v>
      </c>
      <c r="N171">
        <v>4</v>
      </c>
      <c r="O171" t="s">
        <v>135</v>
      </c>
      <c r="P171" t="s">
        <v>16</v>
      </c>
      <c r="Q171" s="1" t="s">
        <v>68</v>
      </c>
      <c r="R171" t="s">
        <v>68</v>
      </c>
      <c r="S171" t="e">
        <f>IF(T171="","",INDEX('Backing 4'!U:U,MATCH(T171,'Backing 4'!T:T,0)))</f>
        <v>#N/A</v>
      </c>
      <c r="T171" t="str">
        <f t="shared" si="6"/>
        <v xml:space="preserve"> Manager &amp; Sales &amp; Marketing</v>
      </c>
      <c r="U171" t="e">
        <f>IF(V171="","",INDEX('Backing 4'!Z:Z,MATCH(V171,'Backing 4'!Y:Y,0)))</f>
        <v>#N/A</v>
      </c>
      <c r="V171" t="str">
        <f t="shared" si="7"/>
        <v xml:space="preserve"> Manager</v>
      </c>
      <c r="W171">
        <v>3</v>
      </c>
      <c r="X171" t="str">
        <f>IF(E171="Y","",IF(Y171="Y",INDEX('Backing 2'!B:B,MATCH(D171,'Backing 2'!C:C,0)),D171))</f>
        <v xml:space="preserve"> Manager</v>
      </c>
      <c r="Y171" t="s">
        <v>81</v>
      </c>
      <c r="Z171">
        <v>2</v>
      </c>
      <c r="AA171" t="s">
        <v>70</v>
      </c>
      <c r="AB171">
        <v>35</v>
      </c>
      <c r="AC171" t="s">
        <v>19</v>
      </c>
      <c r="AD171" t="s">
        <v>19</v>
      </c>
      <c r="AE171" t="s">
        <v>19</v>
      </c>
      <c r="AF171" s="3">
        <v>42826</v>
      </c>
      <c r="AG171">
        <v>3</v>
      </c>
      <c r="AH171">
        <f t="shared" ca="1" si="8"/>
        <v>0.82056944789499109</v>
      </c>
    </row>
    <row r="172" spans="1:34">
      <c r="A172">
        <v>171</v>
      </c>
      <c r="B172" t="s">
        <v>7</v>
      </c>
      <c r="C172">
        <v>4</v>
      </c>
      <c r="D172" t="s">
        <v>135</v>
      </c>
      <c r="E172" t="s">
        <v>81</v>
      </c>
      <c r="F172">
        <v>3</v>
      </c>
      <c r="G172" t="s">
        <v>82</v>
      </c>
      <c r="H172" t="s">
        <v>80</v>
      </c>
      <c r="I172" s="2">
        <v>0.5</v>
      </c>
      <c r="J172" t="s">
        <v>82</v>
      </c>
      <c r="K172" t="s">
        <v>79</v>
      </c>
      <c r="L172" t="s">
        <v>16</v>
      </c>
      <c r="M172">
        <v>0</v>
      </c>
      <c r="N172">
        <v>4</v>
      </c>
      <c r="O172" t="s">
        <v>135</v>
      </c>
      <c r="P172" t="s">
        <v>16</v>
      </c>
      <c r="Q172" s="1">
        <v>0.8</v>
      </c>
      <c r="R172" t="s">
        <v>67</v>
      </c>
      <c r="S172" t="e">
        <f>IF(T172="","",INDEX('Backing 4'!U:U,MATCH(T172,'Backing 4'!T:T,0)))</f>
        <v>#N/A</v>
      </c>
      <c r="T172" t="str">
        <f t="shared" si="6"/>
        <v xml:space="preserve"> Manager &amp; Sales &amp; Marketing</v>
      </c>
      <c r="U172" t="e">
        <f>IF(V172="","",INDEX('Backing 4'!Z:Z,MATCH(V172,'Backing 4'!Y:Y,0)))</f>
        <v>#N/A</v>
      </c>
      <c r="V172" t="str">
        <f t="shared" si="7"/>
        <v xml:space="preserve"> Manager</v>
      </c>
      <c r="W172">
        <v>2</v>
      </c>
      <c r="X172" t="str">
        <f>IF(E172="Y","",IF(Y172="Y",INDEX('Backing 2'!B:B,MATCH(D172,'Backing 2'!C:C,0)),D172))</f>
        <v xml:space="preserve"> Manager</v>
      </c>
      <c r="Y172" t="s">
        <v>81</v>
      </c>
      <c r="Z172">
        <v>2</v>
      </c>
      <c r="AA172" t="s">
        <v>71</v>
      </c>
      <c r="AB172">
        <v>41</v>
      </c>
      <c r="AC172" t="s">
        <v>26</v>
      </c>
      <c r="AD172" t="s">
        <v>74</v>
      </c>
      <c r="AE172" t="s">
        <v>74</v>
      </c>
      <c r="AF172" s="3">
        <v>40634</v>
      </c>
      <c r="AG172">
        <v>9</v>
      </c>
      <c r="AH172">
        <f t="shared" ca="1" si="8"/>
        <v>0.18918101185577396</v>
      </c>
    </row>
    <row r="173" spans="1:34">
      <c r="A173">
        <v>172</v>
      </c>
      <c r="B173" t="s">
        <v>8</v>
      </c>
      <c r="C173">
        <v>3</v>
      </c>
      <c r="D173" t="s">
        <v>137</v>
      </c>
      <c r="E173" t="s">
        <v>81</v>
      </c>
      <c r="F173">
        <v>3</v>
      </c>
      <c r="G173" t="s">
        <v>82</v>
      </c>
      <c r="H173" t="s">
        <v>80</v>
      </c>
      <c r="I173" s="2">
        <v>0.5</v>
      </c>
      <c r="J173" t="s">
        <v>82</v>
      </c>
      <c r="K173" t="s">
        <v>79</v>
      </c>
      <c r="L173" t="s">
        <v>13</v>
      </c>
      <c r="M173">
        <v>0</v>
      </c>
      <c r="N173">
        <v>3</v>
      </c>
      <c r="O173" t="s">
        <v>137</v>
      </c>
      <c r="P173" t="s">
        <v>13</v>
      </c>
      <c r="Q173" s="1" t="s">
        <v>68</v>
      </c>
      <c r="R173" t="s">
        <v>68</v>
      </c>
      <c r="S173" t="e">
        <f>IF(T173="","",INDEX('Backing 4'!U:U,MATCH(T173,'Backing 4'!T:T,0)))</f>
        <v>#N/A</v>
      </c>
      <c r="T173" t="str">
        <f t="shared" si="6"/>
        <v xml:space="preserve"> Senior Manager &amp; HR</v>
      </c>
      <c r="U173" t="e">
        <f>IF(V173="","",INDEX('Backing 4'!Z:Z,MATCH(V173,'Backing 4'!Y:Y,0)))</f>
        <v>#N/A</v>
      </c>
      <c r="V173" t="str">
        <f t="shared" si="7"/>
        <v xml:space="preserve"> Senior Manager</v>
      </c>
      <c r="W173">
        <v>3</v>
      </c>
      <c r="X173" t="str">
        <f>IF(E173="Y","",IF(Y173="Y",INDEX('Backing 2'!B:B,MATCH(D173,'Backing 2'!C:C,0)),D173))</f>
        <v xml:space="preserve"> Senior Manager</v>
      </c>
      <c r="Y173" t="s">
        <v>81</v>
      </c>
      <c r="Z173">
        <v>2</v>
      </c>
      <c r="AA173" t="s">
        <v>70</v>
      </c>
      <c r="AB173">
        <v>36</v>
      </c>
      <c r="AC173" t="s">
        <v>19</v>
      </c>
      <c r="AD173" t="s">
        <v>19</v>
      </c>
      <c r="AE173" t="s">
        <v>19</v>
      </c>
      <c r="AF173" s="3">
        <v>42461</v>
      </c>
      <c r="AG173">
        <v>4</v>
      </c>
      <c r="AH173">
        <f t="shared" ca="1" si="8"/>
        <v>0.91336744846509343</v>
      </c>
    </row>
    <row r="174" spans="1:34">
      <c r="A174">
        <v>173</v>
      </c>
      <c r="B174" t="s">
        <v>7</v>
      </c>
      <c r="C174">
        <v>5</v>
      </c>
      <c r="D174" t="s">
        <v>138</v>
      </c>
      <c r="E174" t="s">
        <v>81</v>
      </c>
      <c r="F174">
        <v>2</v>
      </c>
      <c r="G174" t="s">
        <v>82</v>
      </c>
      <c r="H174" t="s">
        <v>80</v>
      </c>
      <c r="I174" s="2">
        <v>0.5</v>
      </c>
      <c r="J174" t="s">
        <v>82</v>
      </c>
      <c r="K174" t="s">
        <v>79</v>
      </c>
      <c r="L174" t="s">
        <v>14</v>
      </c>
      <c r="M174">
        <v>0</v>
      </c>
      <c r="N174">
        <v>5</v>
      </c>
      <c r="O174" t="s">
        <v>138</v>
      </c>
      <c r="P174" t="s">
        <v>14</v>
      </c>
      <c r="Q174" s="1">
        <v>0.4</v>
      </c>
      <c r="R174" t="s">
        <v>67</v>
      </c>
      <c r="S174" t="e">
        <f>IF(T174="","",INDEX('Backing 4'!U:U,MATCH(T174,'Backing 4'!T:T,0)))</f>
        <v>#N/A</v>
      </c>
      <c r="T174" t="str">
        <f t="shared" si="6"/>
        <v xml:space="preserve"> Senior Officer &amp; Operations</v>
      </c>
      <c r="U174" t="e">
        <f>IF(V174="","",INDEX('Backing 4'!Z:Z,MATCH(V174,'Backing 4'!Y:Y,0)))</f>
        <v>#N/A</v>
      </c>
      <c r="V174" t="str">
        <f t="shared" si="7"/>
        <v xml:space="preserve"> Senior Officer</v>
      </c>
      <c r="W174">
        <v>1</v>
      </c>
      <c r="X174" t="e">
        <f>IF(E174="Y","",IF(Y174="Y",INDEX('Backing 2'!B:B,MATCH(D174,'Backing 2'!C:C,0)),D174))</f>
        <v>#N/A</v>
      </c>
      <c r="Y174" t="s">
        <v>79</v>
      </c>
      <c r="Z174">
        <v>1</v>
      </c>
      <c r="AA174" t="s">
        <v>70</v>
      </c>
      <c r="AB174">
        <v>30</v>
      </c>
      <c r="AC174" t="s">
        <v>26</v>
      </c>
      <c r="AD174" t="s">
        <v>74</v>
      </c>
      <c r="AE174" t="s">
        <v>74</v>
      </c>
      <c r="AF174" s="3">
        <v>41365</v>
      </c>
      <c r="AG174">
        <v>7</v>
      </c>
      <c r="AH174">
        <f t="shared" ca="1" si="8"/>
        <v>0.89066851604305297</v>
      </c>
    </row>
    <row r="175" spans="1:34">
      <c r="A175">
        <v>174</v>
      </c>
      <c r="B175" t="s">
        <v>8</v>
      </c>
      <c r="C175">
        <v>2</v>
      </c>
      <c r="D175" t="s">
        <v>136</v>
      </c>
      <c r="E175" t="s">
        <v>81</v>
      </c>
      <c r="F175">
        <v>2</v>
      </c>
      <c r="G175" t="s">
        <v>82</v>
      </c>
      <c r="H175" t="s">
        <v>80</v>
      </c>
      <c r="I175" s="2">
        <v>0.5</v>
      </c>
      <c r="J175" t="s">
        <v>82</v>
      </c>
      <c r="K175" t="s">
        <v>79</v>
      </c>
      <c r="L175" t="s">
        <v>14</v>
      </c>
      <c r="M175">
        <v>0</v>
      </c>
      <c r="N175">
        <v>2</v>
      </c>
      <c r="O175" t="s">
        <v>136</v>
      </c>
      <c r="P175" t="s">
        <v>14</v>
      </c>
      <c r="Q175" s="1" t="s">
        <v>68</v>
      </c>
      <c r="R175" t="s">
        <v>68</v>
      </c>
      <c r="S175" t="e">
        <f>IF(T175="","",INDEX('Backing 4'!U:U,MATCH(T175,'Backing 4'!T:T,0)))</f>
        <v>#N/A</v>
      </c>
      <c r="T175" t="str">
        <f t="shared" si="6"/>
        <v xml:space="preserve"> Director &amp; Operations</v>
      </c>
      <c r="U175" t="s">
        <v>120</v>
      </c>
      <c r="V175" t="str">
        <f t="shared" si="7"/>
        <v xml:space="preserve"> Director</v>
      </c>
      <c r="W175">
        <v>3</v>
      </c>
      <c r="X175" t="str">
        <f>IF(E175="Y","",IF(Y175="Y",INDEX('Backing 2'!B:B,MATCH(D175,'Backing 2'!C:C,0)),D175))</f>
        <v xml:space="preserve"> Director</v>
      </c>
      <c r="Y175" t="s">
        <v>81</v>
      </c>
      <c r="Z175">
        <v>2</v>
      </c>
      <c r="AA175" t="s">
        <v>71</v>
      </c>
      <c r="AB175">
        <v>44</v>
      </c>
      <c r="AC175" t="s">
        <v>31</v>
      </c>
      <c r="AD175" t="s">
        <v>74</v>
      </c>
      <c r="AE175" t="s">
        <v>74</v>
      </c>
      <c r="AF175" s="3">
        <v>40634</v>
      </c>
      <c r="AG175">
        <v>9</v>
      </c>
      <c r="AH175">
        <f t="shared" ca="1" si="8"/>
        <v>5.2861750674626728E-2</v>
      </c>
    </row>
    <row r="176" spans="1:34">
      <c r="A176">
        <v>175</v>
      </c>
      <c r="B176" t="s">
        <v>8</v>
      </c>
      <c r="C176">
        <v>5</v>
      </c>
      <c r="D176" t="s">
        <v>138</v>
      </c>
      <c r="E176" t="s">
        <v>81</v>
      </c>
      <c r="F176">
        <v>2</v>
      </c>
      <c r="G176" t="s">
        <v>80</v>
      </c>
      <c r="H176" t="s">
        <v>80</v>
      </c>
      <c r="I176" s="2">
        <v>0.5</v>
      </c>
      <c r="J176" t="s">
        <v>82</v>
      </c>
      <c r="K176" t="s">
        <v>79</v>
      </c>
      <c r="L176" t="s">
        <v>12</v>
      </c>
      <c r="M176">
        <v>0</v>
      </c>
      <c r="N176">
        <v>4</v>
      </c>
      <c r="O176" t="s">
        <v>135</v>
      </c>
      <c r="P176" t="s">
        <v>12</v>
      </c>
      <c r="Q176" s="1" t="s">
        <v>68</v>
      </c>
      <c r="R176" t="s">
        <v>68</v>
      </c>
      <c r="S176" t="e">
        <f>IF(T176="","",INDEX('Backing 4'!U:U,MATCH(T176,'Backing 4'!T:T,0)))</f>
        <v>#N/A</v>
      </c>
      <c r="T176" t="str">
        <f t="shared" si="6"/>
        <v xml:space="preserve"> Senior Officer &amp; Finance</v>
      </c>
      <c r="U176" t="e">
        <f>IF(V176="","",INDEX('Backing 4'!Z:Z,MATCH(V176,'Backing 4'!Y:Y,0)))</f>
        <v>#N/A</v>
      </c>
      <c r="V176" t="str">
        <f t="shared" si="7"/>
        <v xml:space="preserve"> Senior Officer</v>
      </c>
      <c r="W176">
        <v>1</v>
      </c>
      <c r="X176" t="e">
        <f>IF(E176="Y","",IF(Y176="Y",INDEX('Backing 2'!B:B,MATCH(D176,'Backing 2'!C:C,0)),D176))</f>
        <v>#N/A</v>
      </c>
      <c r="Y176" t="s">
        <v>79</v>
      </c>
      <c r="Z176">
        <v>1</v>
      </c>
      <c r="AA176" t="s">
        <v>70</v>
      </c>
      <c r="AB176">
        <v>36</v>
      </c>
      <c r="AC176" t="s">
        <v>19</v>
      </c>
      <c r="AD176" t="s">
        <v>19</v>
      </c>
      <c r="AE176" t="s">
        <v>19</v>
      </c>
      <c r="AF176" s="3">
        <v>42461</v>
      </c>
      <c r="AG176">
        <v>4</v>
      </c>
      <c r="AH176">
        <f t="shared" ca="1" si="8"/>
        <v>0.1165542590113543</v>
      </c>
    </row>
    <row r="177" spans="1:34">
      <c r="A177">
        <v>176</v>
      </c>
      <c r="B177" t="s">
        <v>7</v>
      </c>
      <c r="C177">
        <v>3</v>
      </c>
      <c r="D177" t="s">
        <v>137</v>
      </c>
      <c r="E177" t="s">
        <v>81</v>
      </c>
      <c r="F177">
        <v>2</v>
      </c>
      <c r="G177" t="s">
        <v>80</v>
      </c>
      <c r="H177" t="s">
        <v>80</v>
      </c>
      <c r="I177" s="2">
        <v>0.5</v>
      </c>
      <c r="J177" t="s">
        <v>82</v>
      </c>
      <c r="K177" t="s">
        <v>79</v>
      </c>
      <c r="L177" t="s">
        <v>15</v>
      </c>
      <c r="M177">
        <v>0</v>
      </c>
      <c r="N177">
        <v>2</v>
      </c>
      <c r="O177" t="s">
        <v>136</v>
      </c>
      <c r="P177" t="s">
        <v>15</v>
      </c>
      <c r="Q177" s="1" t="s">
        <v>68</v>
      </c>
      <c r="R177" t="s">
        <v>68</v>
      </c>
      <c r="S177" t="e">
        <f>IF(T177="","",INDEX('Backing 4'!U:U,MATCH(T177,'Backing 4'!T:T,0)))</f>
        <v>#N/A</v>
      </c>
      <c r="T177" t="str">
        <f t="shared" si="6"/>
        <v xml:space="preserve"> Senior Manager &amp; Internal Services</v>
      </c>
      <c r="U177" t="e">
        <f>IF(V177="","",INDEX('Backing 4'!Z:Z,MATCH(V177,'Backing 4'!Y:Y,0)))</f>
        <v>#N/A</v>
      </c>
      <c r="V177" t="str">
        <f t="shared" si="7"/>
        <v xml:space="preserve"> Senior Manager</v>
      </c>
      <c r="W177">
        <v>4</v>
      </c>
      <c r="X177" t="str">
        <f>IF(E177="Y","",IF(Y177="Y",INDEX('Backing 2'!B:B,MATCH(D177,'Backing 2'!C:C,0)),D177))</f>
        <v xml:space="preserve"> Senior Manager</v>
      </c>
      <c r="Y177" t="s">
        <v>81</v>
      </c>
      <c r="Z177">
        <v>2</v>
      </c>
      <c r="AA177" t="s">
        <v>71</v>
      </c>
      <c r="AB177">
        <v>46</v>
      </c>
      <c r="AC177" t="s">
        <v>31</v>
      </c>
      <c r="AD177" t="s">
        <v>74</v>
      </c>
      <c r="AE177" t="s">
        <v>74</v>
      </c>
      <c r="AF177" s="3">
        <v>42461</v>
      </c>
      <c r="AG177">
        <v>4</v>
      </c>
      <c r="AH177">
        <f t="shared" ca="1" si="8"/>
        <v>0.46199885078336933</v>
      </c>
    </row>
    <row r="178" spans="1:34">
      <c r="A178">
        <v>177</v>
      </c>
      <c r="B178" t="s">
        <v>8</v>
      </c>
      <c r="C178">
        <v>4</v>
      </c>
      <c r="D178" t="s">
        <v>135</v>
      </c>
      <c r="E178" t="s">
        <v>81</v>
      </c>
      <c r="F178">
        <v>3</v>
      </c>
      <c r="G178" t="s">
        <v>82</v>
      </c>
      <c r="H178" t="s">
        <v>80</v>
      </c>
      <c r="I178" s="2">
        <v>0.5</v>
      </c>
      <c r="J178" t="s">
        <v>82</v>
      </c>
      <c r="K178" t="s">
        <v>79</v>
      </c>
      <c r="L178" t="s">
        <v>14</v>
      </c>
      <c r="M178">
        <v>0</v>
      </c>
      <c r="N178">
        <v>4</v>
      </c>
      <c r="O178" t="s">
        <v>135</v>
      </c>
      <c r="P178" t="s">
        <v>14</v>
      </c>
      <c r="Q178" s="1" t="s">
        <v>68</v>
      </c>
      <c r="R178" t="s">
        <v>68</v>
      </c>
      <c r="S178" t="e">
        <f>IF(T178="","",INDEX('Backing 4'!U:U,MATCH(T178,'Backing 4'!T:T,0)))</f>
        <v>#N/A</v>
      </c>
      <c r="T178" t="str">
        <f t="shared" si="6"/>
        <v xml:space="preserve"> Manager &amp; Operations</v>
      </c>
      <c r="U178" t="e">
        <f>IF(V178="","",INDEX('Backing 4'!Z:Z,MATCH(V178,'Backing 4'!Y:Y,0)))</f>
        <v>#N/A</v>
      </c>
      <c r="V178" t="str">
        <f t="shared" si="7"/>
        <v xml:space="preserve"> Manager</v>
      </c>
      <c r="W178">
        <v>3</v>
      </c>
      <c r="X178" t="str">
        <f>IF(E178="Y","",IF(Y178="Y",INDEX('Backing 2'!B:B,MATCH(D178,'Backing 2'!C:C,0)),D178))</f>
        <v xml:space="preserve"> Manager</v>
      </c>
      <c r="Y178" t="s">
        <v>81</v>
      </c>
      <c r="Z178">
        <v>3</v>
      </c>
      <c r="AA178" t="s">
        <v>70</v>
      </c>
      <c r="AB178">
        <v>30</v>
      </c>
      <c r="AC178" t="s">
        <v>21</v>
      </c>
      <c r="AD178" t="s">
        <v>74</v>
      </c>
      <c r="AE178" t="s">
        <v>74</v>
      </c>
      <c r="AF178" s="3">
        <v>42095</v>
      </c>
      <c r="AG178">
        <v>5</v>
      </c>
      <c r="AH178">
        <f t="shared" ca="1" si="8"/>
        <v>0.99733109933429032</v>
      </c>
    </row>
    <row r="179" spans="1:34">
      <c r="A179">
        <v>178</v>
      </c>
      <c r="B179" t="s">
        <v>8</v>
      </c>
      <c r="C179">
        <v>5</v>
      </c>
      <c r="D179" t="s">
        <v>138</v>
      </c>
      <c r="E179" t="s">
        <v>81</v>
      </c>
      <c r="F179">
        <v>3</v>
      </c>
      <c r="G179" t="s">
        <v>82</v>
      </c>
      <c r="H179" t="s">
        <v>80</v>
      </c>
      <c r="I179" s="2">
        <v>0.5</v>
      </c>
      <c r="J179" t="s">
        <v>82</v>
      </c>
      <c r="K179" t="s">
        <v>79</v>
      </c>
      <c r="L179" t="s">
        <v>15</v>
      </c>
      <c r="M179">
        <v>0</v>
      </c>
      <c r="N179">
        <v>5</v>
      </c>
      <c r="O179" t="s">
        <v>138</v>
      </c>
      <c r="P179" t="s">
        <v>15</v>
      </c>
      <c r="Q179" s="1">
        <v>0.9</v>
      </c>
      <c r="R179" t="s">
        <v>67</v>
      </c>
      <c r="S179" t="e">
        <f>IF(T179="","",INDEX('Backing 4'!U:U,MATCH(T179,'Backing 4'!T:T,0)))</f>
        <v>#N/A</v>
      </c>
      <c r="T179" t="str">
        <f t="shared" si="6"/>
        <v xml:space="preserve"> Senior Officer &amp; Internal Services</v>
      </c>
      <c r="U179" t="e">
        <f>IF(V179="","",INDEX('Backing 4'!Z:Z,MATCH(V179,'Backing 4'!Y:Y,0)))</f>
        <v>#N/A</v>
      </c>
      <c r="V179" t="str">
        <f t="shared" si="7"/>
        <v xml:space="preserve"> Senior Officer</v>
      </c>
      <c r="W179">
        <v>2</v>
      </c>
      <c r="X179" t="str">
        <f>IF(E179="Y","",IF(Y179="Y",INDEX('Backing 2'!B:B,MATCH(D179,'Backing 2'!C:C,0)),D179))</f>
        <v xml:space="preserve"> Senior Officer</v>
      </c>
      <c r="Y179" t="s">
        <v>81</v>
      </c>
      <c r="Z179">
        <v>4</v>
      </c>
      <c r="AA179" t="s">
        <v>70</v>
      </c>
      <c r="AB179">
        <v>34</v>
      </c>
      <c r="AC179" t="s">
        <v>19</v>
      </c>
      <c r="AD179" t="s">
        <v>19</v>
      </c>
      <c r="AE179" t="s">
        <v>19</v>
      </c>
      <c r="AF179" s="3">
        <v>40634</v>
      </c>
      <c r="AG179">
        <v>9</v>
      </c>
      <c r="AH179">
        <f t="shared" ca="1" si="8"/>
        <v>6.5358866734815169E-2</v>
      </c>
    </row>
    <row r="180" spans="1:34">
      <c r="A180">
        <v>179</v>
      </c>
      <c r="B180" t="s">
        <v>8</v>
      </c>
      <c r="C180">
        <v>5</v>
      </c>
      <c r="D180" t="s">
        <v>138</v>
      </c>
      <c r="E180" t="s">
        <v>81</v>
      </c>
      <c r="F180">
        <v>2</v>
      </c>
      <c r="G180" t="s">
        <v>80</v>
      </c>
      <c r="H180" t="s">
        <v>80</v>
      </c>
      <c r="I180" s="2">
        <v>0.5</v>
      </c>
      <c r="J180" t="s">
        <v>82</v>
      </c>
      <c r="K180" t="s">
        <v>79</v>
      </c>
      <c r="L180" t="s">
        <v>16</v>
      </c>
      <c r="M180">
        <v>0</v>
      </c>
      <c r="N180">
        <v>4</v>
      </c>
      <c r="O180" t="s">
        <v>135</v>
      </c>
      <c r="P180" t="s">
        <v>16</v>
      </c>
      <c r="Q180" s="1" t="s">
        <v>68</v>
      </c>
      <c r="R180" t="s">
        <v>68</v>
      </c>
      <c r="S180" t="e">
        <f>IF(T180="","",INDEX('Backing 4'!U:U,MATCH(T180,'Backing 4'!T:T,0)))</f>
        <v>#N/A</v>
      </c>
      <c r="T180" t="str">
        <f t="shared" si="6"/>
        <v xml:space="preserve"> Senior Officer &amp; Sales &amp; Marketing</v>
      </c>
      <c r="U180" t="e">
        <f>IF(V180="","",INDEX('Backing 4'!Z:Z,MATCH(V180,'Backing 4'!Y:Y,0)))</f>
        <v>#N/A</v>
      </c>
      <c r="V180" t="str">
        <f t="shared" si="7"/>
        <v xml:space="preserve"> Senior Officer</v>
      </c>
      <c r="W180">
        <v>4</v>
      </c>
      <c r="X180" t="str">
        <f>IF(E180="Y","",IF(Y180="Y",INDEX('Backing 2'!B:B,MATCH(D180,'Backing 2'!C:C,0)),D180))</f>
        <v xml:space="preserve"> Senior Officer</v>
      </c>
      <c r="Y180" t="s">
        <v>81</v>
      </c>
      <c r="Z180">
        <v>3</v>
      </c>
      <c r="AA180" t="s">
        <v>70</v>
      </c>
      <c r="AB180">
        <v>33</v>
      </c>
      <c r="AC180" t="s">
        <v>30</v>
      </c>
      <c r="AD180" t="s">
        <v>74</v>
      </c>
      <c r="AE180" t="s">
        <v>74</v>
      </c>
      <c r="AF180" s="3">
        <v>42095</v>
      </c>
      <c r="AG180">
        <v>5</v>
      </c>
      <c r="AH180">
        <f t="shared" ca="1" si="8"/>
        <v>0.84633323438964569</v>
      </c>
    </row>
    <row r="181" spans="1:34">
      <c r="A181">
        <v>180</v>
      </c>
      <c r="B181" t="s">
        <v>8</v>
      </c>
      <c r="C181">
        <v>3</v>
      </c>
      <c r="D181" s="4" t="s">
        <v>137</v>
      </c>
      <c r="E181" t="s">
        <v>81</v>
      </c>
      <c r="F181">
        <v>2</v>
      </c>
      <c r="G181" t="s">
        <v>82</v>
      </c>
      <c r="H181" t="s">
        <v>82</v>
      </c>
      <c r="I181" s="2">
        <v>0.5</v>
      </c>
      <c r="J181" t="s">
        <v>80</v>
      </c>
      <c r="K181" t="s">
        <v>79</v>
      </c>
      <c r="L181" t="s">
        <v>13</v>
      </c>
      <c r="M181" t="s">
        <v>83</v>
      </c>
      <c r="N181">
        <v>0</v>
      </c>
      <c r="O181" t="s">
        <v>142</v>
      </c>
      <c r="P181" t="s">
        <v>13</v>
      </c>
      <c r="Q181" s="1" t="s">
        <v>68</v>
      </c>
      <c r="R181" t="s">
        <v>68</v>
      </c>
      <c r="S181" t="e">
        <f>IF(T181="","",INDEX('Backing 4'!U:U,MATCH(T181,'Backing 4'!T:T,0)))</f>
        <v>#N/A</v>
      </c>
      <c r="T181" t="str">
        <f t="shared" si="6"/>
        <v xml:space="preserve"> Senior Manager &amp; HR</v>
      </c>
      <c r="U181" t="e">
        <f>IF(V181="","",INDEX('Backing 4'!Z:Z,MATCH(V181,'Backing 4'!Y:Y,0)))</f>
        <v>#N/A</v>
      </c>
      <c r="V181" t="str">
        <f t="shared" si="7"/>
        <v xml:space="preserve"> Senior Manager</v>
      </c>
      <c r="W181">
        <v>2</v>
      </c>
      <c r="X181" t="str">
        <f>IF(E181="Y","",IF(Y181="Y",INDEX('Backing 2'!B:B,MATCH(D181,'Backing 2'!C:C,0)),D181))</f>
        <v xml:space="preserve"> Senior Manager</v>
      </c>
      <c r="Y181" t="s">
        <v>81</v>
      </c>
      <c r="Z181">
        <v>3</v>
      </c>
      <c r="AA181" t="s">
        <v>70</v>
      </c>
      <c r="AB181">
        <v>34</v>
      </c>
      <c r="AC181" t="s">
        <v>19</v>
      </c>
      <c r="AD181" t="s">
        <v>19</v>
      </c>
      <c r="AE181" t="s">
        <v>19</v>
      </c>
      <c r="AF181" s="3">
        <v>42461</v>
      </c>
      <c r="AG181">
        <v>4</v>
      </c>
      <c r="AH181">
        <f t="shared" ca="1" si="8"/>
        <v>0.49950640662917889</v>
      </c>
    </row>
    <row r="182" spans="1:34">
      <c r="A182">
        <v>181</v>
      </c>
      <c r="B182" t="s">
        <v>7</v>
      </c>
      <c r="C182">
        <v>5</v>
      </c>
      <c r="D182" t="s">
        <v>138</v>
      </c>
      <c r="E182" t="s">
        <v>81</v>
      </c>
      <c r="F182">
        <v>3</v>
      </c>
      <c r="G182" t="s">
        <v>82</v>
      </c>
      <c r="H182" t="s">
        <v>80</v>
      </c>
      <c r="I182" s="2">
        <v>0.5</v>
      </c>
      <c r="J182" t="s">
        <v>82</v>
      </c>
      <c r="K182" t="s">
        <v>79</v>
      </c>
      <c r="L182" t="s">
        <v>14</v>
      </c>
      <c r="M182">
        <v>0</v>
      </c>
      <c r="N182">
        <v>5</v>
      </c>
      <c r="O182" t="s">
        <v>138</v>
      </c>
      <c r="P182" t="s">
        <v>14</v>
      </c>
      <c r="Q182" s="1" t="s">
        <v>68</v>
      </c>
      <c r="R182" t="s">
        <v>68</v>
      </c>
      <c r="S182" t="e">
        <f>IF(T182="","",INDEX('Backing 4'!U:U,MATCH(T182,'Backing 4'!T:T,0)))</f>
        <v>#N/A</v>
      </c>
      <c r="T182" t="str">
        <f t="shared" si="6"/>
        <v xml:space="preserve"> Senior Officer &amp; Operations</v>
      </c>
      <c r="U182" t="e">
        <f>IF(V182="","",INDEX('Backing 4'!Z:Z,MATCH(V182,'Backing 4'!Y:Y,0)))</f>
        <v>#N/A</v>
      </c>
      <c r="V182" t="str">
        <f t="shared" si="7"/>
        <v xml:space="preserve"> Senior Officer</v>
      </c>
      <c r="W182">
        <v>1</v>
      </c>
      <c r="X182" t="e">
        <f>IF(E182="Y","",IF(Y182="Y",INDEX('Backing 2'!B:B,MATCH(D182,'Backing 2'!C:C,0)),D182))</f>
        <v>#N/A</v>
      </c>
      <c r="Y182" t="s">
        <v>79</v>
      </c>
      <c r="Z182">
        <v>2</v>
      </c>
      <c r="AA182" t="s">
        <v>69</v>
      </c>
      <c r="AB182">
        <v>29</v>
      </c>
      <c r="AC182" t="s">
        <v>26</v>
      </c>
      <c r="AD182" t="s">
        <v>74</v>
      </c>
      <c r="AE182" t="s">
        <v>74</v>
      </c>
      <c r="AF182" s="3">
        <v>41000</v>
      </c>
      <c r="AG182">
        <v>8</v>
      </c>
      <c r="AH182">
        <f t="shared" ca="1" si="8"/>
        <v>0.92467869305721329</v>
      </c>
    </row>
    <row r="183" spans="1:34">
      <c r="A183">
        <v>182</v>
      </c>
      <c r="B183" t="s">
        <v>7</v>
      </c>
      <c r="C183">
        <v>6</v>
      </c>
      <c r="D183" s="4" t="s">
        <v>134</v>
      </c>
      <c r="E183" t="s">
        <v>81</v>
      </c>
      <c r="F183">
        <v>3</v>
      </c>
      <c r="G183" t="s">
        <v>82</v>
      </c>
      <c r="H183" t="s">
        <v>82</v>
      </c>
      <c r="I183" s="2">
        <v>0.5</v>
      </c>
      <c r="J183" t="s">
        <v>80</v>
      </c>
      <c r="K183" t="s">
        <v>79</v>
      </c>
      <c r="L183" t="s">
        <v>15</v>
      </c>
      <c r="M183" t="s">
        <v>83</v>
      </c>
      <c r="N183">
        <v>0</v>
      </c>
      <c r="O183" t="s">
        <v>142</v>
      </c>
      <c r="P183" t="s">
        <v>15</v>
      </c>
      <c r="Q183" s="1" t="s">
        <v>68</v>
      </c>
      <c r="R183" t="s">
        <v>68</v>
      </c>
      <c r="S183" t="e">
        <f>IF(T183="","",INDEX('Backing 4'!U:U,MATCH(T183,'Backing 4'!T:T,0)))</f>
        <v>#N/A</v>
      </c>
      <c r="T183" t="str">
        <f t="shared" si="6"/>
        <v xml:space="preserve"> Junior Officer &amp; Internal Services</v>
      </c>
      <c r="U183" t="e">
        <f>IF(V183="","",INDEX('Backing 4'!Z:Z,MATCH(V183,'Backing 4'!Y:Y,0)))</f>
        <v>#N/A</v>
      </c>
      <c r="V183" t="str">
        <f t="shared" si="7"/>
        <v xml:space="preserve"> Junior Officer</v>
      </c>
      <c r="W183">
        <v>2</v>
      </c>
      <c r="X183" t="str">
        <f>IF(E183="Y","",IF(Y183="Y",INDEX('Backing 2'!B:B,MATCH(D183,'Backing 2'!C:C,0)),D183))</f>
        <v xml:space="preserve"> Junior Officer</v>
      </c>
      <c r="Y183" t="s">
        <v>81</v>
      </c>
      <c r="Z183">
        <v>3</v>
      </c>
      <c r="AA183" t="s">
        <v>71</v>
      </c>
      <c r="AB183">
        <v>44</v>
      </c>
      <c r="AC183" t="s">
        <v>30</v>
      </c>
      <c r="AD183" t="s">
        <v>74</v>
      </c>
      <c r="AE183" t="s">
        <v>74</v>
      </c>
      <c r="AF183" s="3">
        <v>43191</v>
      </c>
      <c r="AG183">
        <v>2</v>
      </c>
      <c r="AH183">
        <f t="shared" ca="1" si="8"/>
        <v>0.58754066457094445</v>
      </c>
    </row>
    <row r="184" spans="1:34">
      <c r="A184">
        <v>183</v>
      </c>
      <c r="B184" t="s">
        <v>7</v>
      </c>
      <c r="C184">
        <v>5</v>
      </c>
      <c r="D184" t="s">
        <v>138</v>
      </c>
      <c r="E184" t="s">
        <v>81</v>
      </c>
      <c r="F184">
        <v>2</v>
      </c>
      <c r="G184" t="s">
        <v>82</v>
      </c>
      <c r="H184" t="s">
        <v>80</v>
      </c>
      <c r="I184" s="2">
        <v>0.5</v>
      </c>
      <c r="J184" t="s">
        <v>82</v>
      </c>
      <c r="K184" t="s">
        <v>79</v>
      </c>
      <c r="L184" t="s">
        <v>14</v>
      </c>
      <c r="M184">
        <v>0</v>
      </c>
      <c r="N184">
        <v>5</v>
      </c>
      <c r="O184" t="s">
        <v>138</v>
      </c>
      <c r="P184" t="s">
        <v>14</v>
      </c>
      <c r="Q184" s="1">
        <v>0.6</v>
      </c>
      <c r="R184" t="s">
        <v>67</v>
      </c>
      <c r="S184" t="e">
        <f>IF(T184="","",INDEX('Backing 4'!U:U,MATCH(T184,'Backing 4'!T:T,0)))</f>
        <v>#N/A</v>
      </c>
      <c r="T184" t="str">
        <f t="shared" si="6"/>
        <v xml:space="preserve"> Senior Officer &amp; Operations</v>
      </c>
      <c r="U184" t="e">
        <f>IF(V184="","",INDEX('Backing 4'!Z:Z,MATCH(V184,'Backing 4'!Y:Y,0)))</f>
        <v>#N/A</v>
      </c>
      <c r="V184" t="str">
        <f t="shared" si="7"/>
        <v xml:space="preserve"> Senior Officer</v>
      </c>
      <c r="W184">
        <v>3</v>
      </c>
      <c r="X184" t="str">
        <f>IF(E184="Y","",IF(Y184="Y",INDEX('Backing 2'!B:B,MATCH(D184,'Backing 2'!C:C,0)),D184))</f>
        <v xml:space="preserve"> Senior Officer</v>
      </c>
      <c r="Y184" t="s">
        <v>81</v>
      </c>
      <c r="Z184">
        <v>0</v>
      </c>
      <c r="AA184" t="s">
        <v>69</v>
      </c>
      <c r="AB184">
        <v>28</v>
      </c>
      <c r="AC184" t="s">
        <v>38</v>
      </c>
      <c r="AD184" t="s">
        <v>75</v>
      </c>
      <c r="AE184" t="s">
        <v>78</v>
      </c>
      <c r="AF184" s="3">
        <v>42826</v>
      </c>
      <c r="AG184">
        <v>3</v>
      </c>
      <c r="AH184">
        <f t="shared" ca="1" si="8"/>
        <v>0.99750476305629232</v>
      </c>
    </row>
    <row r="185" spans="1:34">
      <c r="A185">
        <v>184</v>
      </c>
      <c r="B185" t="s">
        <v>8</v>
      </c>
      <c r="C185">
        <v>6</v>
      </c>
      <c r="D185" t="s">
        <v>134</v>
      </c>
      <c r="E185" t="s">
        <v>79</v>
      </c>
      <c r="F185">
        <v>0</v>
      </c>
      <c r="G185" t="s">
        <v>82</v>
      </c>
      <c r="H185" t="s">
        <v>82</v>
      </c>
      <c r="I185" s="2">
        <v>0.5</v>
      </c>
      <c r="J185" t="s">
        <v>82</v>
      </c>
      <c r="K185" t="s">
        <v>81</v>
      </c>
      <c r="L185" t="s">
        <v>15</v>
      </c>
      <c r="M185">
        <v>0</v>
      </c>
      <c r="N185">
        <v>6</v>
      </c>
      <c r="O185" t="s">
        <v>134</v>
      </c>
      <c r="P185" t="s">
        <v>15</v>
      </c>
      <c r="Q185" s="1">
        <v>0.8</v>
      </c>
      <c r="R185" t="s">
        <v>67</v>
      </c>
      <c r="S185" t="e">
        <f>IF(T185="","",INDEX('Backing 4'!U:U,MATCH(T185,'Backing 4'!T:T,0)))</f>
        <v>#N/A</v>
      </c>
      <c r="T185" t="str">
        <f t="shared" si="6"/>
        <v xml:space="preserve"> Junior Officer &amp; Internal Services</v>
      </c>
      <c r="U185" t="e">
        <f>IF(V185="","",INDEX('Backing 4'!Z:Z,MATCH(V185,'Backing 4'!Y:Y,0)))</f>
        <v>#N/A</v>
      </c>
      <c r="V185" t="str">
        <f t="shared" si="7"/>
        <v xml:space="preserve"> Junior Officer</v>
      </c>
      <c r="W185">
        <v>0</v>
      </c>
      <c r="X185" t="str">
        <f>IF(E185="Y","",IF(Y185="Y",INDEX('Backing 2'!B:B,MATCH(D185,'Backing 2'!C:C,0)),D185))</f>
        <v/>
      </c>
      <c r="Y185" t="s">
        <v>81</v>
      </c>
      <c r="Z185">
        <v>0</v>
      </c>
      <c r="AA185" t="s">
        <v>69</v>
      </c>
      <c r="AB185">
        <v>22</v>
      </c>
      <c r="AC185" t="s">
        <v>19</v>
      </c>
      <c r="AD185" t="s">
        <v>19</v>
      </c>
      <c r="AE185" t="s">
        <v>19</v>
      </c>
      <c r="AF185" s="3">
        <v>43922</v>
      </c>
      <c r="AG185">
        <v>0</v>
      </c>
      <c r="AH185">
        <f t="shared" ca="1" si="8"/>
        <v>0.17034073355177615</v>
      </c>
    </row>
    <row r="186" spans="1:34">
      <c r="A186">
        <v>185</v>
      </c>
      <c r="B186" t="s">
        <v>8</v>
      </c>
      <c r="C186">
        <v>6</v>
      </c>
      <c r="D186" t="s">
        <v>134</v>
      </c>
      <c r="E186" t="s">
        <v>79</v>
      </c>
      <c r="F186">
        <v>0</v>
      </c>
      <c r="G186" t="s">
        <v>82</v>
      </c>
      <c r="H186" t="s">
        <v>82</v>
      </c>
      <c r="I186" s="2">
        <v>0.5</v>
      </c>
      <c r="J186" t="s">
        <v>82</v>
      </c>
      <c r="K186" t="s">
        <v>81</v>
      </c>
      <c r="L186" t="s">
        <v>16</v>
      </c>
      <c r="M186">
        <v>0</v>
      </c>
      <c r="N186">
        <v>6</v>
      </c>
      <c r="O186" t="s">
        <v>134</v>
      </c>
      <c r="P186" t="s">
        <v>16</v>
      </c>
      <c r="Q186" s="1" t="s">
        <v>68</v>
      </c>
      <c r="R186" t="s">
        <v>68</v>
      </c>
      <c r="S186" t="e">
        <f>IF(T186="","",INDEX('Backing 4'!U:U,MATCH(T186,'Backing 4'!T:T,0)))</f>
        <v>#N/A</v>
      </c>
      <c r="T186" t="str">
        <f t="shared" si="6"/>
        <v xml:space="preserve"> Junior Officer &amp; Sales &amp; Marketing</v>
      </c>
      <c r="U186" t="e">
        <f>IF(V186="","",INDEX('Backing 4'!Z:Z,MATCH(V186,'Backing 4'!Y:Y,0)))</f>
        <v>#N/A</v>
      </c>
      <c r="V186" t="str">
        <f t="shared" si="7"/>
        <v xml:space="preserve"> Junior Officer</v>
      </c>
      <c r="W186">
        <v>0</v>
      </c>
      <c r="X186" t="str">
        <f>IF(E186="Y","",IF(Y186="Y",INDEX('Backing 2'!B:B,MATCH(D186,'Backing 2'!C:C,0)),D186))</f>
        <v/>
      </c>
      <c r="Y186" t="s">
        <v>81</v>
      </c>
      <c r="Z186">
        <v>0</v>
      </c>
      <c r="AA186" t="s">
        <v>69</v>
      </c>
      <c r="AB186">
        <v>25</v>
      </c>
      <c r="AC186" t="s">
        <v>30</v>
      </c>
      <c r="AD186" t="s">
        <v>74</v>
      </c>
      <c r="AE186" t="s">
        <v>74</v>
      </c>
      <c r="AF186" s="3">
        <v>43922</v>
      </c>
      <c r="AG186">
        <v>0</v>
      </c>
      <c r="AH186">
        <f t="shared" ca="1" si="8"/>
        <v>0.19316586720879325</v>
      </c>
    </row>
    <row r="187" spans="1:34">
      <c r="A187">
        <v>186</v>
      </c>
      <c r="B187" t="s">
        <v>7</v>
      </c>
      <c r="C187">
        <v>6</v>
      </c>
      <c r="D187" t="s">
        <v>134</v>
      </c>
      <c r="E187" t="s">
        <v>81</v>
      </c>
      <c r="F187">
        <v>3</v>
      </c>
      <c r="G187" t="s">
        <v>82</v>
      </c>
      <c r="H187" t="s">
        <v>80</v>
      </c>
      <c r="I187" s="2">
        <v>0.5</v>
      </c>
      <c r="J187" t="s">
        <v>82</v>
      </c>
      <c r="K187" t="s">
        <v>79</v>
      </c>
      <c r="L187" t="s">
        <v>14</v>
      </c>
      <c r="M187">
        <v>0</v>
      </c>
      <c r="N187">
        <v>6</v>
      </c>
      <c r="O187" t="s">
        <v>134</v>
      </c>
      <c r="P187" t="s">
        <v>14</v>
      </c>
      <c r="Q187" s="1" t="s">
        <v>68</v>
      </c>
      <c r="R187" t="s">
        <v>68</v>
      </c>
      <c r="S187" t="e">
        <f>IF(T187="","",INDEX('Backing 4'!U:U,MATCH(T187,'Backing 4'!T:T,0)))</f>
        <v>#N/A</v>
      </c>
      <c r="T187" t="str">
        <f t="shared" si="6"/>
        <v xml:space="preserve"> Junior Officer &amp; Operations</v>
      </c>
      <c r="U187" t="e">
        <f>IF(V187="","",INDEX('Backing 4'!Z:Z,MATCH(V187,'Backing 4'!Y:Y,0)))</f>
        <v>#N/A</v>
      </c>
      <c r="V187" t="str">
        <f t="shared" si="7"/>
        <v xml:space="preserve"> Junior Officer</v>
      </c>
      <c r="W187">
        <v>2</v>
      </c>
      <c r="X187" t="str">
        <f>IF(E187="Y","",IF(Y187="Y",INDEX('Backing 2'!B:B,MATCH(D187,'Backing 2'!C:C,0)),D187))</f>
        <v xml:space="preserve"> Junior Officer</v>
      </c>
      <c r="Y187" t="s">
        <v>81</v>
      </c>
      <c r="Z187">
        <v>3</v>
      </c>
      <c r="AA187" t="s">
        <v>69</v>
      </c>
      <c r="AB187">
        <v>28</v>
      </c>
      <c r="AC187" t="s">
        <v>30</v>
      </c>
      <c r="AD187" t="s">
        <v>74</v>
      </c>
      <c r="AE187" t="s">
        <v>74</v>
      </c>
      <c r="AF187" s="3">
        <v>43191</v>
      </c>
      <c r="AG187">
        <v>2</v>
      </c>
      <c r="AH187">
        <f t="shared" ca="1" si="8"/>
        <v>0.93748060364448016</v>
      </c>
    </row>
    <row r="188" spans="1:34">
      <c r="A188">
        <v>187</v>
      </c>
      <c r="B188" t="s">
        <v>8</v>
      </c>
      <c r="C188">
        <v>5</v>
      </c>
      <c r="D188" t="s">
        <v>138</v>
      </c>
      <c r="E188" t="s">
        <v>81</v>
      </c>
      <c r="F188">
        <v>1</v>
      </c>
      <c r="G188" t="s">
        <v>82</v>
      </c>
      <c r="H188" t="s">
        <v>80</v>
      </c>
      <c r="I188" s="2">
        <v>0.5</v>
      </c>
      <c r="J188" t="s">
        <v>82</v>
      </c>
      <c r="K188" t="s">
        <v>79</v>
      </c>
      <c r="L188" t="s">
        <v>16</v>
      </c>
      <c r="M188">
        <v>0</v>
      </c>
      <c r="N188">
        <v>5</v>
      </c>
      <c r="O188" t="s">
        <v>138</v>
      </c>
      <c r="P188" t="s">
        <v>16</v>
      </c>
      <c r="Q188" s="1" t="s">
        <v>68</v>
      </c>
      <c r="R188" t="s">
        <v>68</v>
      </c>
      <c r="S188" t="e">
        <f>IF(T188="","",INDEX('Backing 4'!U:U,MATCH(T188,'Backing 4'!T:T,0)))</f>
        <v>#N/A</v>
      </c>
      <c r="T188" t="str">
        <f t="shared" si="6"/>
        <v xml:space="preserve"> Senior Officer &amp; Sales &amp; Marketing</v>
      </c>
      <c r="U188" t="e">
        <f>IF(V188="","",INDEX('Backing 4'!Z:Z,MATCH(V188,'Backing 4'!Y:Y,0)))</f>
        <v>#N/A</v>
      </c>
      <c r="V188" t="str">
        <f t="shared" si="7"/>
        <v xml:space="preserve"> Senior Officer</v>
      </c>
      <c r="W188">
        <v>3</v>
      </c>
      <c r="X188" t="str">
        <f>IF(E188="Y","",IF(Y188="Y",INDEX('Backing 2'!B:B,MATCH(D188,'Backing 2'!C:C,0)),D188))</f>
        <v xml:space="preserve"> Senior Officer</v>
      </c>
      <c r="Y188" t="s">
        <v>81</v>
      </c>
      <c r="Z188">
        <v>0</v>
      </c>
      <c r="AA188" t="s">
        <v>70</v>
      </c>
      <c r="AB188">
        <v>30</v>
      </c>
      <c r="AC188" t="s">
        <v>34</v>
      </c>
      <c r="AD188" t="s">
        <v>76</v>
      </c>
      <c r="AE188" t="s">
        <v>78</v>
      </c>
      <c r="AF188" s="3">
        <v>42826</v>
      </c>
      <c r="AG188">
        <v>3</v>
      </c>
      <c r="AH188">
        <f t="shared" ca="1" si="8"/>
        <v>0.94670310548449688</v>
      </c>
    </row>
    <row r="189" spans="1:34">
      <c r="A189">
        <v>188</v>
      </c>
      <c r="B189" t="s">
        <v>8</v>
      </c>
      <c r="C189">
        <v>5</v>
      </c>
      <c r="D189" t="s">
        <v>138</v>
      </c>
      <c r="E189" t="s">
        <v>81</v>
      </c>
      <c r="F189">
        <v>2</v>
      </c>
      <c r="G189" t="s">
        <v>82</v>
      </c>
      <c r="H189" t="s">
        <v>80</v>
      </c>
      <c r="I189" s="2">
        <v>0.5</v>
      </c>
      <c r="J189" t="s">
        <v>82</v>
      </c>
      <c r="K189" t="s">
        <v>79</v>
      </c>
      <c r="L189" t="s">
        <v>16</v>
      </c>
      <c r="M189">
        <v>0</v>
      </c>
      <c r="N189">
        <v>5</v>
      </c>
      <c r="O189" t="s">
        <v>138</v>
      </c>
      <c r="P189" t="s">
        <v>16</v>
      </c>
      <c r="Q189" s="1" t="s">
        <v>68</v>
      </c>
      <c r="R189" t="s">
        <v>68</v>
      </c>
      <c r="S189" t="e">
        <f>IF(T189="","",INDEX('Backing 4'!U:U,MATCH(T189,'Backing 4'!T:T,0)))</f>
        <v>#N/A</v>
      </c>
      <c r="T189" t="str">
        <f t="shared" si="6"/>
        <v xml:space="preserve"> Senior Officer &amp; Sales &amp; Marketing</v>
      </c>
      <c r="U189" t="e">
        <f>IF(V189="","",INDEX('Backing 4'!Z:Z,MATCH(V189,'Backing 4'!Y:Y,0)))</f>
        <v>#N/A</v>
      </c>
      <c r="V189" t="str">
        <f t="shared" si="7"/>
        <v xml:space="preserve"> Senior Officer</v>
      </c>
      <c r="W189">
        <v>4</v>
      </c>
      <c r="X189" t="str">
        <f>IF(E189="Y","",IF(Y189="Y",INDEX('Backing 2'!B:B,MATCH(D189,'Backing 2'!C:C,0)),D189))</f>
        <v xml:space="preserve"> Senior Officer</v>
      </c>
      <c r="Y189" t="s">
        <v>81</v>
      </c>
      <c r="Z189">
        <v>3</v>
      </c>
      <c r="AA189" t="s">
        <v>69</v>
      </c>
      <c r="AB189">
        <v>29</v>
      </c>
      <c r="AC189" t="s">
        <v>19</v>
      </c>
      <c r="AD189" t="s">
        <v>19</v>
      </c>
      <c r="AE189" t="s">
        <v>19</v>
      </c>
      <c r="AF189" s="3">
        <v>40634</v>
      </c>
      <c r="AG189">
        <v>9</v>
      </c>
      <c r="AH189">
        <f t="shared" ca="1" si="8"/>
        <v>0.17996216831626799</v>
      </c>
    </row>
    <row r="190" spans="1:34">
      <c r="A190">
        <v>189</v>
      </c>
      <c r="B190" t="s">
        <v>7</v>
      </c>
      <c r="C190">
        <v>6</v>
      </c>
      <c r="D190" t="s">
        <v>134</v>
      </c>
      <c r="E190" t="s">
        <v>81</v>
      </c>
      <c r="F190">
        <v>3</v>
      </c>
      <c r="G190" t="s">
        <v>82</v>
      </c>
      <c r="H190" t="s">
        <v>80</v>
      </c>
      <c r="I190" s="2">
        <v>0.5</v>
      </c>
      <c r="J190" t="s">
        <v>82</v>
      </c>
      <c r="K190" t="s">
        <v>79</v>
      </c>
      <c r="L190" t="s">
        <v>14</v>
      </c>
      <c r="M190">
        <v>0</v>
      </c>
      <c r="N190">
        <v>6</v>
      </c>
      <c r="O190" t="s">
        <v>134</v>
      </c>
      <c r="P190" t="s">
        <v>14</v>
      </c>
      <c r="Q190" s="1" t="s">
        <v>68</v>
      </c>
      <c r="R190" t="s">
        <v>68</v>
      </c>
      <c r="S190" t="e">
        <f>IF(T190="","",INDEX('Backing 4'!U:U,MATCH(T190,'Backing 4'!T:T,0)))</f>
        <v>#N/A</v>
      </c>
      <c r="T190" t="str">
        <f t="shared" si="6"/>
        <v xml:space="preserve"> Junior Officer &amp; Operations</v>
      </c>
      <c r="U190" t="e">
        <f>IF(V190="","",INDEX('Backing 4'!Z:Z,MATCH(V190,'Backing 4'!Y:Y,0)))</f>
        <v>#N/A</v>
      </c>
      <c r="V190" t="str">
        <f t="shared" si="7"/>
        <v xml:space="preserve"> Junior Officer</v>
      </c>
      <c r="W190">
        <v>2</v>
      </c>
      <c r="X190" t="str">
        <f>IF(E190="Y","",IF(Y190="Y",INDEX('Backing 2'!B:B,MATCH(D190,'Backing 2'!C:C,0)),D190))</f>
        <v xml:space="preserve"> Junior Officer</v>
      </c>
      <c r="Y190" t="s">
        <v>81</v>
      </c>
      <c r="Z190">
        <v>2</v>
      </c>
      <c r="AA190" t="s">
        <v>69</v>
      </c>
      <c r="AB190">
        <v>26</v>
      </c>
      <c r="AC190" t="s">
        <v>19</v>
      </c>
      <c r="AD190" t="s">
        <v>19</v>
      </c>
      <c r="AE190" t="s">
        <v>19</v>
      </c>
      <c r="AF190" s="3">
        <v>43191</v>
      </c>
      <c r="AG190">
        <v>2</v>
      </c>
      <c r="AH190">
        <f t="shared" ca="1" si="8"/>
        <v>0.25650969747783481</v>
      </c>
    </row>
    <row r="191" spans="1:34">
      <c r="A191">
        <v>190</v>
      </c>
      <c r="B191" t="s">
        <v>7</v>
      </c>
      <c r="C191">
        <v>5</v>
      </c>
      <c r="D191" t="s">
        <v>138</v>
      </c>
      <c r="E191" t="s">
        <v>81</v>
      </c>
      <c r="F191">
        <v>2</v>
      </c>
      <c r="G191" t="s">
        <v>82</v>
      </c>
      <c r="H191" t="s">
        <v>80</v>
      </c>
      <c r="I191" s="2">
        <v>0.5</v>
      </c>
      <c r="J191" t="s">
        <v>82</v>
      </c>
      <c r="K191" t="s">
        <v>79</v>
      </c>
      <c r="L191" t="s">
        <v>14</v>
      </c>
      <c r="M191">
        <v>0</v>
      </c>
      <c r="N191">
        <v>5</v>
      </c>
      <c r="O191" t="s">
        <v>138</v>
      </c>
      <c r="P191" t="s">
        <v>14</v>
      </c>
      <c r="Q191" s="1" t="s">
        <v>68</v>
      </c>
      <c r="R191" t="s">
        <v>68</v>
      </c>
      <c r="S191" t="e">
        <f>IF(T191="","",INDEX('Backing 4'!U:U,MATCH(T191,'Backing 4'!T:T,0)))</f>
        <v>#N/A</v>
      </c>
      <c r="T191" t="str">
        <f t="shared" si="6"/>
        <v xml:space="preserve"> Senior Officer &amp; Operations</v>
      </c>
      <c r="U191" t="e">
        <f>IF(V191="","",INDEX('Backing 4'!Z:Z,MATCH(V191,'Backing 4'!Y:Y,0)))</f>
        <v>#N/A</v>
      </c>
      <c r="V191" t="str">
        <f t="shared" si="7"/>
        <v xml:space="preserve"> Senior Officer</v>
      </c>
      <c r="W191">
        <v>3</v>
      </c>
      <c r="X191" t="str">
        <f>IF(E191="Y","",IF(Y191="Y",INDEX('Backing 2'!B:B,MATCH(D191,'Backing 2'!C:C,0)),D191))</f>
        <v xml:space="preserve"> Senior Officer</v>
      </c>
      <c r="Y191" t="s">
        <v>81</v>
      </c>
      <c r="Z191">
        <v>3</v>
      </c>
      <c r="AA191" t="s">
        <v>70</v>
      </c>
      <c r="AB191">
        <v>33</v>
      </c>
      <c r="AC191" t="s">
        <v>19</v>
      </c>
      <c r="AD191" t="s">
        <v>19</v>
      </c>
      <c r="AE191" t="s">
        <v>19</v>
      </c>
      <c r="AF191" s="3">
        <v>40634</v>
      </c>
      <c r="AG191">
        <v>9</v>
      </c>
      <c r="AH191">
        <f t="shared" ca="1" si="8"/>
        <v>0.98238626918629524</v>
      </c>
    </row>
    <row r="192" spans="1:34">
      <c r="A192">
        <v>191</v>
      </c>
      <c r="B192" t="s">
        <v>8</v>
      </c>
      <c r="C192">
        <v>5</v>
      </c>
      <c r="D192" s="4" t="s">
        <v>138</v>
      </c>
      <c r="E192" t="s">
        <v>81</v>
      </c>
      <c r="F192">
        <v>3</v>
      </c>
      <c r="G192" t="s">
        <v>82</v>
      </c>
      <c r="H192" t="s">
        <v>82</v>
      </c>
      <c r="I192" s="2">
        <v>0.5</v>
      </c>
      <c r="J192" t="s">
        <v>80</v>
      </c>
      <c r="K192" t="s">
        <v>79</v>
      </c>
      <c r="L192" t="s">
        <v>16</v>
      </c>
      <c r="M192" t="s">
        <v>83</v>
      </c>
      <c r="N192">
        <v>0</v>
      </c>
      <c r="O192" t="s">
        <v>142</v>
      </c>
      <c r="P192" t="s">
        <v>16</v>
      </c>
      <c r="Q192" s="1" t="s">
        <v>68</v>
      </c>
      <c r="R192" t="s">
        <v>68</v>
      </c>
      <c r="S192" t="e">
        <f>IF(T192="","",INDEX('Backing 4'!U:U,MATCH(T192,'Backing 4'!T:T,0)))</f>
        <v>#N/A</v>
      </c>
      <c r="T192" t="str">
        <f t="shared" si="6"/>
        <v xml:space="preserve"> Senior Officer &amp; Sales &amp; Marketing</v>
      </c>
      <c r="U192" t="e">
        <f>IF(V192="","",INDEX('Backing 4'!Z:Z,MATCH(V192,'Backing 4'!Y:Y,0)))</f>
        <v>#N/A</v>
      </c>
      <c r="V192" t="str">
        <f t="shared" si="7"/>
        <v xml:space="preserve"> Senior Officer</v>
      </c>
      <c r="W192">
        <v>3</v>
      </c>
      <c r="X192" t="str">
        <f>IF(E192="Y","",IF(Y192="Y",INDEX('Backing 2'!B:B,MATCH(D192,'Backing 2'!C:C,0)),D192))</f>
        <v xml:space="preserve"> Senior Officer</v>
      </c>
      <c r="Y192" t="s">
        <v>81</v>
      </c>
      <c r="Z192">
        <v>3</v>
      </c>
      <c r="AA192" t="s">
        <v>73</v>
      </c>
      <c r="AB192">
        <v>62</v>
      </c>
      <c r="AC192" t="s">
        <v>19</v>
      </c>
      <c r="AD192" t="s">
        <v>19</v>
      </c>
      <c r="AE192" t="s">
        <v>19</v>
      </c>
      <c r="AF192" s="3">
        <v>40634</v>
      </c>
      <c r="AG192">
        <v>9</v>
      </c>
      <c r="AH192">
        <f t="shared" ca="1" si="8"/>
        <v>0.60732804913781535</v>
      </c>
    </row>
    <row r="193" spans="1:34">
      <c r="A193">
        <v>192</v>
      </c>
      <c r="B193" t="s">
        <v>8</v>
      </c>
      <c r="C193">
        <v>2</v>
      </c>
      <c r="D193" t="s">
        <v>136</v>
      </c>
      <c r="E193" t="s">
        <v>79</v>
      </c>
      <c r="F193">
        <v>0</v>
      </c>
      <c r="G193" t="s">
        <v>82</v>
      </c>
      <c r="H193" t="s">
        <v>82</v>
      </c>
      <c r="I193" s="2">
        <v>0.5</v>
      </c>
      <c r="J193" t="s">
        <v>82</v>
      </c>
      <c r="K193" t="s">
        <v>81</v>
      </c>
      <c r="L193" t="s">
        <v>14</v>
      </c>
      <c r="M193">
        <v>0</v>
      </c>
      <c r="N193">
        <v>2</v>
      </c>
      <c r="O193" t="s">
        <v>136</v>
      </c>
      <c r="P193" t="s">
        <v>14</v>
      </c>
      <c r="Q193" s="1" t="s">
        <v>68</v>
      </c>
      <c r="R193" t="s">
        <v>68</v>
      </c>
      <c r="S193" t="e">
        <f>IF(T193="","",INDEX('Backing 4'!U:U,MATCH(T193,'Backing 4'!T:T,0)))</f>
        <v>#N/A</v>
      </c>
      <c r="T193" t="str">
        <f t="shared" si="6"/>
        <v xml:space="preserve"> Director &amp; Operations</v>
      </c>
      <c r="U193" t="s">
        <v>120</v>
      </c>
      <c r="V193" t="str">
        <f t="shared" si="7"/>
        <v xml:space="preserve"> Director</v>
      </c>
      <c r="W193">
        <v>0</v>
      </c>
      <c r="X193" t="str">
        <f>IF(E193="Y","",IF(Y193="Y",INDEX('Backing 2'!B:B,MATCH(D193,'Backing 2'!C:C,0)),D193))</f>
        <v/>
      </c>
      <c r="Y193" t="s">
        <v>81</v>
      </c>
      <c r="Z193">
        <v>0</v>
      </c>
      <c r="AA193" t="s">
        <v>70</v>
      </c>
      <c r="AB193">
        <v>39</v>
      </c>
      <c r="AC193" t="s">
        <v>19</v>
      </c>
      <c r="AD193" t="s">
        <v>19</v>
      </c>
      <c r="AE193" t="s">
        <v>19</v>
      </c>
      <c r="AF193" s="3">
        <v>43922</v>
      </c>
      <c r="AG193">
        <v>0</v>
      </c>
      <c r="AH193">
        <f t="shared" ca="1" si="8"/>
        <v>0.28200301372684422</v>
      </c>
    </row>
    <row r="194" spans="1:34">
      <c r="A194">
        <v>193</v>
      </c>
      <c r="B194" t="s">
        <v>8</v>
      </c>
      <c r="C194">
        <v>4</v>
      </c>
      <c r="D194" s="4" t="s">
        <v>135</v>
      </c>
      <c r="E194" t="s">
        <v>81</v>
      </c>
      <c r="F194">
        <v>3</v>
      </c>
      <c r="G194" t="s">
        <v>82</v>
      </c>
      <c r="H194" t="s">
        <v>82</v>
      </c>
      <c r="I194" s="2">
        <v>0.5</v>
      </c>
      <c r="J194" t="s">
        <v>80</v>
      </c>
      <c r="K194" t="s">
        <v>79</v>
      </c>
      <c r="L194" t="s">
        <v>14</v>
      </c>
      <c r="M194" t="s">
        <v>83</v>
      </c>
      <c r="N194">
        <v>0</v>
      </c>
      <c r="O194" t="s">
        <v>142</v>
      </c>
      <c r="P194" t="s">
        <v>14</v>
      </c>
      <c r="Q194" s="1" t="s">
        <v>68</v>
      </c>
      <c r="R194" t="s">
        <v>68</v>
      </c>
      <c r="S194" t="e">
        <f>IF(T194="","",INDEX('Backing 4'!U:U,MATCH(T194,'Backing 4'!T:T,0)))</f>
        <v>#N/A</v>
      </c>
      <c r="T194" t="str">
        <f t="shared" ref="T194:T257" si="9">IF(O194="","",IF(D194="1 - Executive","",D194&amp;" &amp; "&amp;P194))</f>
        <v xml:space="preserve"> Manager &amp; Operations</v>
      </c>
      <c r="U194" t="e">
        <f>IF(V194="","",INDEX('Backing 4'!Z:Z,MATCH(V194,'Backing 4'!Y:Y,0)))</f>
        <v>#N/A</v>
      </c>
      <c r="V194" t="str">
        <f t="shared" ref="V194:V257" si="10">IF(O194="","",IF(D194="1 - Executive","",D194))</f>
        <v xml:space="preserve"> Manager</v>
      </c>
      <c r="W194">
        <v>9</v>
      </c>
      <c r="X194" t="str">
        <f>IF(E194="Y","",IF(Y194="Y",INDEX('Backing 2'!B:B,MATCH(D194,'Backing 2'!C:C,0)),D194))</f>
        <v xml:space="preserve"> Manager</v>
      </c>
      <c r="Y194" t="s">
        <v>81</v>
      </c>
      <c r="Z194">
        <v>3</v>
      </c>
      <c r="AA194" t="s">
        <v>69</v>
      </c>
      <c r="AB194">
        <v>25</v>
      </c>
      <c r="AC194" t="s">
        <v>31</v>
      </c>
      <c r="AD194" t="s">
        <v>74</v>
      </c>
      <c r="AE194" t="s">
        <v>74</v>
      </c>
      <c r="AF194" s="3">
        <v>40634</v>
      </c>
      <c r="AG194">
        <v>9</v>
      </c>
      <c r="AH194">
        <f t="shared" ref="AH194:AH257" ca="1" si="11">RAND()</f>
        <v>0.13251754665602367</v>
      </c>
    </row>
    <row r="195" spans="1:34">
      <c r="A195">
        <v>194</v>
      </c>
      <c r="B195" t="s">
        <v>7</v>
      </c>
      <c r="C195">
        <v>6</v>
      </c>
      <c r="D195" t="s">
        <v>134</v>
      </c>
      <c r="E195" t="s">
        <v>79</v>
      </c>
      <c r="F195">
        <v>0</v>
      </c>
      <c r="G195" t="s">
        <v>82</v>
      </c>
      <c r="H195" t="s">
        <v>82</v>
      </c>
      <c r="I195" s="2">
        <v>0.5</v>
      </c>
      <c r="J195" t="s">
        <v>82</v>
      </c>
      <c r="K195" t="s">
        <v>81</v>
      </c>
      <c r="L195" t="s">
        <v>15</v>
      </c>
      <c r="M195">
        <v>0</v>
      </c>
      <c r="N195">
        <v>6</v>
      </c>
      <c r="O195" t="s">
        <v>134</v>
      </c>
      <c r="P195" t="s">
        <v>15</v>
      </c>
      <c r="Q195" s="1" t="s">
        <v>68</v>
      </c>
      <c r="R195" t="s">
        <v>68</v>
      </c>
      <c r="S195" t="e">
        <f>IF(T195="","",INDEX('Backing 4'!U:U,MATCH(T195,'Backing 4'!T:T,0)))</f>
        <v>#N/A</v>
      </c>
      <c r="T195" t="str">
        <f t="shared" si="9"/>
        <v xml:space="preserve"> Junior Officer &amp; Internal Services</v>
      </c>
      <c r="U195" t="e">
        <f>IF(V195="","",INDEX('Backing 4'!Z:Z,MATCH(V195,'Backing 4'!Y:Y,0)))</f>
        <v>#N/A</v>
      </c>
      <c r="V195" t="str">
        <f t="shared" si="10"/>
        <v xml:space="preserve"> Junior Officer</v>
      </c>
      <c r="W195">
        <v>0</v>
      </c>
      <c r="X195" t="str">
        <f>IF(E195="Y","",IF(Y195="Y",INDEX('Backing 2'!B:B,MATCH(D195,'Backing 2'!C:C,0)),D195))</f>
        <v/>
      </c>
      <c r="Y195" t="s">
        <v>81</v>
      </c>
      <c r="Z195">
        <v>0</v>
      </c>
      <c r="AA195" t="s">
        <v>69</v>
      </c>
      <c r="AB195">
        <v>22</v>
      </c>
      <c r="AC195" t="s">
        <v>19</v>
      </c>
      <c r="AD195" t="s">
        <v>19</v>
      </c>
      <c r="AE195" t="s">
        <v>19</v>
      </c>
      <c r="AF195" s="3">
        <v>43922</v>
      </c>
      <c r="AG195">
        <v>0</v>
      </c>
      <c r="AH195">
        <f t="shared" ca="1" si="11"/>
        <v>0.62113038701638734</v>
      </c>
    </row>
    <row r="196" spans="1:34">
      <c r="A196">
        <v>195</v>
      </c>
      <c r="B196" t="s">
        <v>8</v>
      </c>
      <c r="C196">
        <v>5</v>
      </c>
      <c r="D196" t="s">
        <v>138</v>
      </c>
      <c r="E196" t="s">
        <v>81</v>
      </c>
      <c r="F196">
        <v>3</v>
      </c>
      <c r="G196" t="s">
        <v>82</v>
      </c>
      <c r="H196" t="s">
        <v>80</v>
      </c>
      <c r="I196" s="2">
        <v>0.5</v>
      </c>
      <c r="J196" t="s">
        <v>82</v>
      </c>
      <c r="K196" t="s">
        <v>79</v>
      </c>
      <c r="L196" t="s">
        <v>14</v>
      </c>
      <c r="M196">
        <v>0</v>
      </c>
      <c r="N196">
        <v>5</v>
      </c>
      <c r="O196" t="s">
        <v>138</v>
      </c>
      <c r="P196" t="s">
        <v>14</v>
      </c>
      <c r="Q196" s="1" t="s">
        <v>68</v>
      </c>
      <c r="R196" t="s">
        <v>68</v>
      </c>
      <c r="S196" t="e">
        <f>IF(T196="","",INDEX('Backing 4'!U:U,MATCH(T196,'Backing 4'!T:T,0)))</f>
        <v>#N/A</v>
      </c>
      <c r="T196" t="str">
        <f t="shared" si="9"/>
        <v xml:space="preserve"> Senior Officer &amp; Operations</v>
      </c>
      <c r="U196" t="e">
        <f>IF(V196="","",INDEX('Backing 4'!Z:Z,MATCH(V196,'Backing 4'!Y:Y,0)))</f>
        <v>#N/A</v>
      </c>
      <c r="V196" t="str">
        <f t="shared" si="10"/>
        <v xml:space="preserve"> Senior Officer</v>
      </c>
      <c r="W196">
        <v>2</v>
      </c>
      <c r="X196" t="str">
        <f>IF(E196="Y","",IF(Y196="Y",INDEX('Backing 2'!B:B,MATCH(D196,'Backing 2'!C:C,0)),D196))</f>
        <v xml:space="preserve"> Senior Officer</v>
      </c>
      <c r="Y196" t="s">
        <v>81</v>
      </c>
      <c r="Z196">
        <v>2</v>
      </c>
      <c r="AA196" t="s">
        <v>70</v>
      </c>
      <c r="AB196">
        <v>30</v>
      </c>
      <c r="AC196" t="s">
        <v>19</v>
      </c>
      <c r="AD196" t="s">
        <v>19</v>
      </c>
      <c r="AE196" t="s">
        <v>19</v>
      </c>
      <c r="AF196" s="3">
        <v>43191</v>
      </c>
      <c r="AG196">
        <v>2</v>
      </c>
      <c r="AH196">
        <f t="shared" ca="1" si="11"/>
        <v>1.9964273210868799E-2</v>
      </c>
    </row>
    <row r="197" spans="1:34">
      <c r="A197">
        <v>196</v>
      </c>
      <c r="B197" t="s">
        <v>8</v>
      </c>
      <c r="C197">
        <v>3</v>
      </c>
      <c r="D197" t="s">
        <v>137</v>
      </c>
      <c r="E197" t="s">
        <v>79</v>
      </c>
      <c r="F197">
        <v>0</v>
      </c>
      <c r="G197" t="s">
        <v>82</v>
      </c>
      <c r="H197" t="s">
        <v>82</v>
      </c>
      <c r="I197" s="2">
        <v>0.5</v>
      </c>
      <c r="J197" t="s">
        <v>82</v>
      </c>
      <c r="K197" t="s">
        <v>81</v>
      </c>
      <c r="L197" t="s">
        <v>14</v>
      </c>
      <c r="M197">
        <v>0</v>
      </c>
      <c r="N197">
        <v>3</v>
      </c>
      <c r="O197" t="s">
        <v>137</v>
      </c>
      <c r="P197" t="s">
        <v>14</v>
      </c>
      <c r="Q197" s="1" t="s">
        <v>68</v>
      </c>
      <c r="R197" t="s">
        <v>68</v>
      </c>
      <c r="S197" t="e">
        <f>IF(T197="","",INDEX('Backing 4'!U:U,MATCH(T197,'Backing 4'!T:T,0)))</f>
        <v>#N/A</v>
      </c>
      <c r="T197" t="str">
        <f t="shared" si="9"/>
        <v xml:space="preserve"> Senior Manager &amp; Operations</v>
      </c>
      <c r="U197" t="e">
        <f>IF(V197="","",INDEX('Backing 4'!Z:Z,MATCH(V197,'Backing 4'!Y:Y,0)))</f>
        <v>#N/A</v>
      </c>
      <c r="V197" t="str">
        <f t="shared" si="10"/>
        <v xml:space="preserve"> Senior Manager</v>
      </c>
      <c r="W197">
        <v>0</v>
      </c>
      <c r="X197" t="str">
        <f>IF(E197="Y","",IF(Y197="Y",INDEX('Backing 2'!B:B,MATCH(D197,'Backing 2'!C:C,0)),D197))</f>
        <v/>
      </c>
      <c r="Y197" t="s">
        <v>81</v>
      </c>
      <c r="Z197">
        <v>0</v>
      </c>
      <c r="AA197" t="s">
        <v>71</v>
      </c>
      <c r="AB197">
        <v>40</v>
      </c>
      <c r="AC197" t="s">
        <v>19</v>
      </c>
      <c r="AD197" t="s">
        <v>19</v>
      </c>
      <c r="AE197" t="s">
        <v>19</v>
      </c>
      <c r="AF197" s="3">
        <v>43922</v>
      </c>
      <c r="AG197">
        <v>0</v>
      </c>
      <c r="AH197">
        <f t="shared" ca="1" si="11"/>
        <v>0.69180581092488502</v>
      </c>
    </row>
    <row r="198" spans="1:34">
      <c r="A198">
        <v>197</v>
      </c>
      <c r="B198" t="s">
        <v>8</v>
      </c>
      <c r="C198">
        <v>6</v>
      </c>
      <c r="D198" t="s">
        <v>134</v>
      </c>
      <c r="E198" t="s">
        <v>81</v>
      </c>
      <c r="F198">
        <v>3</v>
      </c>
      <c r="G198" t="s">
        <v>82</v>
      </c>
      <c r="H198" t="s">
        <v>80</v>
      </c>
      <c r="I198" s="2">
        <v>0.5</v>
      </c>
      <c r="J198" t="s">
        <v>82</v>
      </c>
      <c r="K198" t="s">
        <v>79</v>
      </c>
      <c r="L198" t="s">
        <v>12</v>
      </c>
      <c r="M198">
        <v>0</v>
      </c>
      <c r="N198">
        <v>6</v>
      </c>
      <c r="O198" t="s">
        <v>134</v>
      </c>
      <c r="P198" t="s">
        <v>12</v>
      </c>
      <c r="Q198" s="1" t="s">
        <v>68</v>
      </c>
      <c r="R198" t="s">
        <v>68</v>
      </c>
      <c r="S198" t="e">
        <f>IF(T198="","",INDEX('Backing 4'!U:U,MATCH(T198,'Backing 4'!T:T,0)))</f>
        <v>#N/A</v>
      </c>
      <c r="T198" t="str">
        <f t="shared" si="9"/>
        <v xml:space="preserve"> Junior Officer &amp; Finance</v>
      </c>
      <c r="U198" t="e">
        <f>IF(V198="","",INDEX('Backing 4'!Z:Z,MATCH(V198,'Backing 4'!Y:Y,0)))</f>
        <v>#N/A</v>
      </c>
      <c r="V198" t="str">
        <f t="shared" si="10"/>
        <v xml:space="preserve"> Junior Officer</v>
      </c>
      <c r="W198">
        <v>5</v>
      </c>
      <c r="X198" t="str">
        <f>IF(E198="Y","",IF(Y198="Y",INDEX('Backing 2'!B:B,MATCH(D198,'Backing 2'!C:C,0)),D198))</f>
        <v xml:space="preserve"> Junior Officer</v>
      </c>
      <c r="Y198" t="s">
        <v>81</v>
      </c>
      <c r="Z198">
        <v>2</v>
      </c>
      <c r="AA198" t="s">
        <v>69</v>
      </c>
      <c r="AB198">
        <v>23</v>
      </c>
      <c r="AC198" t="s">
        <v>31</v>
      </c>
      <c r="AD198" t="s">
        <v>74</v>
      </c>
      <c r="AE198" t="s">
        <v>74</v>
      </c>
      <c r="AF198" s="3">
        <v>42095</v>
      </c>
      <c r="AG198">
        <v>5</v>
      </c>
      <c r="AH198">
        <f t="shared" ca="1" si="11"/>
        <v>0.76680447815133179</v>
      </c>
    </row>
    <row r="199" spans="1:34">
      <c r="A199">
        <v>198</v>
      </c>
      <c r="B199" t="s">
        <v>7</v>
      </c>
      <c r="C199">
        <v>6</v>
      </c>
      <c r="D199" s="4" t="s">
        <v>134</v>
      </c>
      <c r="E199" t="s">
        <v>81</v>
      </c>
      <c r="F199">
        <v>2</v>
      </c>
      <c r="G199" t="s">
        <v>82</v>
      </c>
      <c r="H199" t="s">
        <v>82</v>
      </c>
      <c r="I199" s="2">
        <v>0.5</v>
      </c>
      <c r="J199" t="s">
        <v>80</v>
      </c>
      <c r="K199" t="s">
        <v>79</v>
      </c>
      <c r="L199" t="s">
        <v>16</v>
      </c>
      <c r="M199" t="s">
        <v>83</v>
      </c>
      <c r="N199">
        <v>0</v>
      </c>
      <c r="O199" t="s">
        <v>142</v>
      </c>
      <c r="P199" t="s">
        <v>16</v>
      </c>
      <c r="Q199" s="1" t="s">
        <v>68</v>
      </c>
      <c r="R199" t="s">
        <v>68</v>
      </c>
      <c r="S199" t="e">
        <f>IF(T199="","",INDEX('Backing 4'!U:U,MATCH(T199,'Backing 4'!T:T,0)))</f>
        <v>#N/A</v>
      </c>
      <c r="T199" t="str">
        <f t="shared" si="9"/>
        <v xml:space="preserve"> Junior Officer &amp; Sales &amp; Marketing</v>
      </c>
      <c r="U199" t="e">
        <f>IF(V199="","",INDEX('Backing 4'!Z:Z,MATCH(V199,'Backing 4'!Y:Y,0)))</f>
        <v>#N/A</v>
      </c>
      <c r="V199" t="str">
        <f t="shared" si="10"/>
        <v xml:space="preserve"> Junior Officer</v>
      </c>
      <c r="W199">
        <v>1</v>
      </c>
      <c r="X199" t="str">
        <f>IF(E199="Y","",IF(Y199="Y",INDEX('Backing 2'!B:B,MATCH(D199,'Backing 2'!C:C,0)),D199))</f>
        <v xml:space="preserve"> Junior Officer</v>
      </c>
      <c r="Y199" t="s">
        <v>81</v>
      </c>
      <c r="Z199">
        <v>0</v>
      </c>
      <c r="AA199" t="s">
        <v>71</v>
      </c>
      <c r="AB199">
        <v>41</v>
      </c>
      <c r="AC199" t="s">
        <v>19</v>
      </c>
      <c r="AD199" t="s">
        <v>19</v>
      </c>
      <c r="AE199" t="s">
        <v>19</v>
      </c>
      <c r="AF199" s="3">
        <v>43556</v>
      </c>
      <c r="AG199">
        <v>1</v>
      </c>
      <c r="AH199">
        <f t="shared" ca="1" si="11"/>
        <v>9.9258257067386224E-2</v>
      </c>
    </row>
    <row r="200" spans="1:34">
      <c r="A200">
        <v>199</v>
      </c>
      <c r="B200" t="s">
        <v>7</v>
      </c>
      <c r="C200">
        <v>6</v>
      </c>
      <c r="D200" t="s">
        <v>134</v>
      </c>
      <c r="E200" t="s">
        <v>81</v>
      </c>
      <c r="F200">
        <v>3</v>
      </c>
      <c r="G200" t="s">
        <v>82</v>
      </c>
      <c r="H200" t="s">
        <v>80</v>
      </c>
      <c r="I200" s="2">
        <v>0.5</v>
      </c>
      <c r="J200" t="s">
        <v>82</v>
      </c>
      <c r="K200" t="s">
        <v>79</v>
      </c>
      <c r="L200" t="s">
        <v>15</v>
      </c>
      <c r="M200">
        <v>0</v>
      </c>
      <c r="N200">
        <v>6</v>
      </c>
      <c r="O200" t="s">
        <v>134</v>
      </c>
      <c r="P200" t="s">
        <v>15</v>
      </c>
      <c r="Q200" s="1" t="s">
        <v>68</v>
      </c>
      <c r="R200" t="s">
        <v>68</v>
      </c>
      <c r="S200" t="e">
        <f>IF(T200="","",INDEX('Backing 4'!U:U,MATCH(T200,'Backing 4'!T:T,0)))</f>
        <v>#N/A</v>
      </c>
      <c r="T200" t="str">
        <f t="shared" si="9"/>
        <v xml:space="preserve"> Junior Officer &amp; Internal Services</v>
      </c>
      <c r="U200" t="e">
        <f>IF(V200="","",INDEX('Backing 4'!Z:Z,MATCH(V200,'Backing 4'!Y:Y,0)))</f>
        <v>#N/A</v>
      </c>
      <c r="V200" t="str">
        <f t="shared" si="10"/>
        <v xml:space="preserve"> Junior Officer</v>
      </c>
      <c r="W200">
        <v>2</v>
      </c>
      <c r="X200" t="str">
        <f>IF(E200="Y","",IF(Y200="Y",INDEX('Backing 2'!B:B,MATCH(D200,'Backing 2'!C:C,0)),D200))</f>
        <v xml:space="preserve"> Junior Officer</v>
      </c>
      <c r="Y200" t="s">
        <v>81</v>
      </c>
      <c r="Z200">
        <v>2</v>
      </c>
      <c r="AA200" t="s">
        <v>69</v>
      </c>
      <c r="AB200">
        <v>24</v>
      </c>
      <c r="AC200" t="s">
        <v>19</v>
      </c>
      <c r="AD200" t="s">
        <v>19</v>
      </c>
      <c r="AE200" t="s">
        <v>19</v>
      </c>
      <c r="AF200" s="3">
        <v>43191</v>
      </c>
      <c r="AG200">
        <v>2</v>
      </c>
      <c r="AH200">
        <f t="shared" ca="1" si="11"/>
        <v>0.2256476530446665</v>
      </c>
    </row>
    <row r="201" spans="1:34">
      <c r="A201">
        <v>200</v>
      </c>
      <c r="B201" t="s">
        <v>8</v>
      </c>
      <c r="C201">
        <v>5</v>
      </c>
      <c r="D201" s="4" t="s">
        <v>138</v>
      </c>
      <c r="E201" t="s">
        <v>81</v>
      </c>
      <c r="F201">
        <v>3</v>
      </c>
      <c r="G201" t="s">
        <v>82</v>
      </c>
      <c r="H201" t="s">
        <v>82</v>
      </c>
      <c r="I201" s="2">
        <v>0.5</v>
      </c>
      <c r="J201" t="s">
        <v>80</v>
      </c>
      <c r="K201" t="s">
        <v>79</v>
      </c>
      <c r="L201" t="s">
        <v>14</v>
      </c>
      <c r="M201" t="s">
        <v>83</v>
      </c>
      <c r="N201">
        <v>0</v>
      </c>
      <c r="O201" t="s">
        <v>142</v>
      </c>
      <c r="P201" t="s">
        <v>14</v>
      </c>
      <c r="Q201" s="1" t="s">
        <v>68</v>
      </c>
      <c r="R201" t="s">
        <v>68</v>
      </c>
      <c r="S201" t="e">
        <f>IF(T201="","",INDEX('Backing 4'!U:U,MATCH(T201,'Backing 4'!T:T,0)))</f>
        <v>#N/A</v>
      </c>
      <c r="T201" t="str">
        <f t="shared" si="9"/>
        <v xml:space="preserve"> Senior Officer &amp; Operations</v>
      </c>
      <c r="U201" t="e">
        <f>IF(V201="","",INDEX('Backing 4'!Z:Z,MATCH(V201,'Backing 4'!Y:Y,0)))</f>
        <v>#N/A</v>
      </c>
      <c r="V201" t="str">
        <f t="shared" si="10"/>
        <v xml:space="preserve"> Senior Officer</v>
      </c>
      <c r="W201">
        <v>4</v>
      </c>
      <c r="X201" t="str">
        <f>IF(E201="Y","",IF(Y201="Y",INDEX('Backing 2'!B:B,MATCH(D201,'Backing 2'!C:C,0)),D201))</f>
        <v xml:space="preserve"> Senior Officer</v>
      </c>
      <c r="Y201" t="s">
        <v>81</v>
      </c>
      <c r="Z201">
        <v>3</v>
      </c>
      <c r="AA201" t="s">
        <v>71</v>
      </c>
      <c r="AB201">
        <v>41</v>
      </c>
      <c r="AC201" t="s">
        <v>26</v>
      </c>
      <c r="AD201" t="s">
        <v>74</v>
      </c>
      <c r="AE201" t="s">
        <v>74</v>
      </c>
      <c r="AF201" s="3">
        <v>40634</v>
      </c>
      <c r="AG201">
        <v>9</v>
      </c>
      <c r="AH201">
        <f t="shared" ca="1" si="11"/>
        <v>0.73943564911041848</v>
      </c>
    </row>
    <row r="202" spans="1:34">
      <c r="A202">
        <v>201</v>
      </c>
      <c r="B202" t="s">
        <v>7</v>
      </c>
      <c r="C202">
        <v>5</v>
      </c>
      <c r="D202" t="s">
        <v>138</v>
      </c>
      <c r="E202" t="s">
        <v>79</v>
      </c>
      <c r="F202">
        <v>0</v>
      </c>
      <c r="G202" t="s">
        <v>82</v>
      </c>
      <c r="H202" t="s">
        <v>82</v>
      </c>
      <c r="I202" s="2">
        <v>0.5</v>
      </c>
      <c r="J202" t="s">
        <v>82</v>
      </c>
      <c r="K202" t="s">
        <v>81</v>
      </c>
      <c r="L202" t="s">
        <v>13</v>
      </c>
      <c r="M202">
        <v>0</v>
      </c>
      <c r="N202">
        <v>5</v>
      </c>
      <c r="O202" t="s">
        <v>138</v>
      </c>
      <c r="P202" t="s">
        <v>13</v>
      </c>
      <c r="Q202" s="1">
        <v>0.6</v>
      </c>
      <c r="R202" t="s">
        <v>67</v>
      </c>
      <c r="S202" t="e">
        <f>IF(T202="","",INDEX('Backing 4'!U:U,MATCH(T202,'Backing 4'!T:T,0)))</f>
        <v>#N/A</v>
      </c>
      <c r="T202" t="str">
        <f t="shared" si="9"/>
        <v xml:space="preserve"> Senior Officer &amp; HR</v>
      </c>
      <c r="U202" t="e">
        <f>IF(V202="","",INDEX('Backing 4'!Z:Z,MATCH(V202,'Backing 4'!Y:Y,0)))</f>
        <v>#N/A</v>
      </c>
      <c r="V202" t="str">
        <f t="shared" si="10"/>
        <v xml:space="preserve"> Senior Officer</v>
      </c>
      <c r="W202">
        <v>0</v>
      </c>
      <c r="X202" t="str">
        <f>IF(E202="Y","",IF(Y202="Y",INDEX('Backing 2'!B:B,MATCH(D202,'Backing 2'!C:C,0)),D202))</f>
        <v/>
      </c>
      <c r="Y202" t="s">
        <v>81</v>
      </c>
      <c r="Z202">
        <v>0</v>
      </c>
      <c r="AA202" t="s">
        <v>70</v>
      </c>
      <c r="AB202">
        <v>33</v>
      </c>
      <c r="AC202" t="s">
        <v>31</v>
      </c>
      <c r="AD202" t="s">
        <v>74</v>
      </c>
      <c r="AE202" t="s">
        <v>74</v>
      </c>
      <c r="AF202" s="3">
        <v>43922</v>
      </c>
      <c r="AG202">
        <v>0</v>
      </c>
      <c r="AH202">
        <f t="shared" ca="1" si="11"/>
        <v>0.95110252266526984</v>
      </c>
    </row>
    <row r="203" spans="1:34">
      <c r="A203">
        <v>202</v>
      </c>
      <c r="B203" t="s">
        <v>8</v>
      </c>
      <c r="C203">
        <v>4</v>
      </c>
      <c r="D203" t="s">
        <v>135</v>
      </c>
      <c r="E203" t="s">
        <v>81</v>
      </c>
      <c r="F203">
        <v>3</v>
      </c>
      <c r="G203" t="s">
        <v>82</v>
      </c>
      <c r="H203" t="s">
        <v>80</v>
      </c>
      <c r="I203" s="2">
        <v>0.5</v>
      </c>
      <c r="J203" t="s">
        <v>82</v>
      </c>
      <c r="K203" t="s">
        <v>79</v>
      </c>
      <c r="L203" t="s">
        <v>15</v>
      </c>
      <c r="M203">
        <v>0</v>
      </c>
      <c r="N203">
        <v>4</v>
      </c>
      <c r="O203" t="s">
        <v>135</v>
      </c>
      <c r="P203" t="s">
        <v>15</v>
      </c>
      <c r="Q203" s="1" t="s">
        <v>68</v>
      </c>
      <c r="R203" t="s">
        <v>68</v>
      </c>
      <c r="S203" t="e">
        <f>IF(T203="","",INDEX('Backing 4'!U:U,MATCH(T203,'Backing 4'!T:T,0)))</f>
        <v>#N/A</v>
      </c>
      <c r="T203" t="str">
        <f t="shared" si="9"/>
        <v xml:space="preserve"> Manager &amp; Internal Services</v>
      </c>
      <c r="U203" t="e">
        <f>IF(V203="","",INDEX('Backing 4'!Z:Z,MATCH(V203,'Backing 4'!Y:Y,0)))</f>
        <v>#N/A</v>
      </c>
      <c r="V203" t="str">
        <f t="shared" si="10"/>
        <v xml:space="preserve"> Manager</v>
      </c>
      <c r="W203">
        <v>3</v>
      </c>
      <c r="X203" t="str">
        <f>IF(E203="Y","",IF(Y203="Y",INDEX('Backing 2'!B:B,MATCH(D203,'Backing 2'!C:C,0)),D203))</f>
        <v xml:space="preserve"> Manager</v>
      </c>
      <c r="Y203" t="s">
        <v>81</v>
      </c>
      <c r="Z203">
        <v>2</v>
      </c>
      <c r="AA203" t="s">
        <v>70</v>
      </c>
      <c r="AB203">
        <v>34</v>
      </c>
      <c r="AC203" t="s">
        <v>38</v>
      </c>
      <c r="AD203" t="s">
        <v>75</v>
      </c>
      <c r="AE203" t="s">
        <v>78</v>
      </c>
      <c r="AF203" s="3">
        <v>41000</v>
      </c>
      <c r="AG203">
        <v>8</v>
      </c>
      <c r="AH203">
        <f t="shared" ca="1" si="11"/>
        <v>0.1703662959098502</v>
      </c>
    </row>
    <row r="204" spans="1:34">
      <c r="A204">
        <v>203</v>
      </c>
      <c r="B204" t="s">
        <v>8</v>
      </c>
      <c r="C204">
        <v>6</v>
      </c>
      <c r="D204" t="s">
        <v>134</v>
      </c>
      <c r="E204" t="s">
        <v>81</v>
      </c>
      <c r="F204">
        <v>3</v>
      </c>
      <c r="G204" t="s">
        <v>82</v>
      </c>
      <c r="H204" t="s">
        <v>80</v>
      </c>
      <c r="I204" s="2">
        <v>0.5</v>
      </c>
      <c r="J204" t="s">
        <v>82</v>
      </c>
      <c r="K204" t="s">
        <v>79</v>
      </c>
      <c r="L204" t="s">
        <v>14</v>
      </c>
      <c r="M204">
        <v>0</v>
      </c>
      <c r="N204">
        <v>6</v>
      </c>
      <c r="O204" t="s">
        <v>134</v>
      </c>
      <c r="P204" t="s">
        <v>14</v>
      </c>
      <c r="Q204" s="1" t="s">
        <v>68</v>
      </c>
      <c r="R204" t="s">
        <v>68</v>
      </c>
      <c r="S204" t="e">
        <f>IF(T204="","",INDEX('Backing 4'!U:U,MATCH(T204,'Backing 4'!T:T,0)))</f>
        <v>#N/A</v>
      </c>
      <c r="T204" t="str">
        <f t="shared" si="9"/>
        <v xml:space="preserve"> Junior Officer &amp; Operations</v>
      </c>
      <c r="U204" t="e">
        <f>IF(V204="","",INDEX('Backing 4'!Z:Z,MATCH(V204,'Backing 4'!Y:Y,0)))</f>
        <v>#N/A</v>
      </c>
      <c r="V204" t="str">
        <f t="shared" si="10"/>
        <v xml:space="preserve"> Junior Officer</v>
      </c>
      <c r="W204">
        <v>1</v>
      </c>
      <c r="X204" t="str">
        <f>IF(E204="Y","",IF(Y204="Y",INDEX('Backing 2'!B:B,MATCH(D204,'Backing 2'!C:C,0)),D204))</f>
        <v xml:space="preserve"> Junior Officer</v>
      </c>
      <c r="Y204" t="s">
        <v>81</v>
      </c>
      <c r="Z204">
        <v>0</v>
      </c>
      <c r="AA204" t="s">
        <v>69</v>
      </c>
      <c r="AB204">
        <v>26</v>
      </c>
      <c r="AC204" t="s">
        <v>30</v>
      </c>
      <c r="AD204" t="s">
        <v>74</v>
      </c>
      <c r="AE204" t="s">
        <v>74</v>
      </c>
      <c r="AF204" s="3">
        <v>43556</v>
      </c>
      <c r="AG204">
        <v>1</v>
      </c>
      <c r="AH204">
        <f t="shared" ca="1" si="11"/>
        <v>0.83157915263000071</v>
      </c>
    </row>
    <row r="205" spans="1:34">
      <c r="A205">
        <v>204</v>
      </c>
      <c r="B205" t="s">
        <v>8</v>
      </c>
      <c r="C205">
        <v>6</v>
      </c>
      <c r="D205" t="s">
        <v>134</v>
      </c>
      <c r="E205" t="s">
        <v>79</v>
      </c>
      <c r="F205">
        <v>0</v>
      </c>
      <c r="G205" t="s">
        <v>82</v>
      </c>
      <c r="H205" t="s">
        <v>82</v>
      </c>
      <c r="I205" s="2">
        <v>0.5</v>
      </c>
      <c r="J205" t="s">
        <v>82</v>
      </c>
      <c r="K205" t="s">
        <v>81</v>
      </c>
      <c r="L205" t="s">
        <v>16</v>
      </c>
      <c r="M205">
        <v>0</v>
      </c>
      <c r="N205">
        <v>6</v>
      </c>
      <c r="O205" t="s">
        <v>134</v>
      </c>
      <c r="P205" t="s">
        <v>16</v>
      </c>
      <c r="Q205" s="1" t="s">
        <v>68</v>
      </c>
      <c r="R205" t="s">
        <v>68</v>
      </c>
      <c r="S205" t="e">
        <f>IF(T205="","",INDEX('Backing 4'!U:U,MATCH(T205,'Backing 4'!T:T,0)))</f>
        <v>#N/A</v>
      </c>
      <c r="T205" t="str">
        <f t="shared" si="9"/>
        <v xml:space="preserve"> Junior Officer &amp; Sales &amp; Marketing</v>
      </c>
      <c r="U205" t="e">
        <f>IF(V205="","",INDEX('Backing 4'!Z:Z,MATCH(V205,'Backing 4'!Y:Y,0)))</f>
        <v>#N/A</v>
      </c>
      <c r="V205" t="str">
        <f t="shared" si="10"/>
        <v xml:space="preserve"> Junior Officer</v>
      </c>
      <c r="W205">
        <v>0</v>
      </c>
      <c r="X205" t="str">
        <f>IF(E205="Y","",IF(Y205="Y",INDEX('Backing 2'!B:B,MATCH(D205,'Backing 2'!C:C,0)),D205))</f>
        <v/>
      </c>
      <c r="Y205" t="s">
        <v>81</v>
      </c>
      <c r="Z205">
        <v>0</v>
      </c>
      <c r="AA205" t="s">
        <v>69</v>
      </c>
      <c r="AB205">
        <v>22</v>
      </c>
      <c r="AC205" t="s">
        <v>19</v>
      </c>
      <c r="AD205" t="s">
        <v>19</v>
      </c>
      <c r="AE205" t="s">
        <v>19</v>
      </c>
      <c r="AF205" s="3">
        <v>43922</v>
      </c>
      <c r="AG205">
        <v>0</v>
      </c>
      <c r="AH205">
        <f t="shared" ca="1" si="11"/>
        <v>0.97928087119607121</v>
      </c>
    </row>
    <row r="206" spans="1:34">
      <c r="A206">
        <v>205</v>
      </c>
      <c r="B206" t="s">
        <v>8</v>
      </c>
      <c r="C206">
        <v>3</v>
      </c>
      <c r="D206" t="s">
        <v>137</v>
      </c>
      <c r="E206" t="s">
        <v>81</v>
      </c>
      <c r="F206">
        <v>2</v>
      </c>
      <c r="G206" t="s">
        <v>82</v>
      </c>
      <c r="H206" t="s">
        <v>80</v>
      </c>
      <c r="I206" s="2">
        <v>0.5</v>
      </c>
      <c r="J206" t="s">
        <v>82</v>
      </c>
      <c r="K206" t="s">
        <v>79</v>
      </c>
      <c r="L206" t="s">
        <v>16</v>
      </c>
      <c r="M206">
        <v>0</v>
      </c>
      <c r="N206">
        <v>3</v>
      </c>
      <c r="O206" t="s">
        <v>137</v>
      </c>
      <c r="P206" t="s">
        <v>16</v>
      </c>
      <c r="Q206" s="1" t="s">
        <v>68</v>
      </c>
      <c r="R206" t="s">
        <v>68</v>
      </c>
      <c r="S206" t="e">
        <f>IF(T206="","",INDEX('Backing 4'!U:U,MATCH(T206,'Backing 4'!T:T,0)))</f>
        <v>#N/A</v>
      </c>
      <c r="T206" t="str">
        <f t="shared" si="9"/>
        <v xml:space="preserve"> Senior Manager &amp; Sales &amp; Marketing</v>
      </c>
      <c r="U206" t="e">
        <f>IF(V206="","",INDEX('Backing 4'!Z:Z,MATCH(V206,'Backing 4'!Y:Y,0)))</f>
        <v>#N/A</v>
      </c>
      <c r="V206" t="str">
        <f t="shared" si="10"/>
        <v xml:space="preserve"> Senior Manager</v>
      </c>
      <c r="W206">
        <v>3</v>
      </c>
      <c r="X206" t="str">
        <f>IF(E206="Y","",IF(Y206="Y",INDEX('Backing 2'!B:B,MATCH(D206,'Backing 2'!C:C,0)),D206))</f>
        <v xml:space="preserve"> Senior Manager</v>
      </c>
      <c r="Y206" t="s">
        <v>81</v>
      </c>
      <c r="Z206">
        <v>3</v>
      </c>
      <c r="AA206" t="s">
        <v>71</v>
      </c>
      <c r="AB206">
        <v>40</v>
      </c>
      <c r="AC206" t="s">
        <v>19</v>
      </c>
      <c r="AD206" t="s">
        <v>19</v>
      </c>
      <c r="AE206" t="s">
        <v>19</v>
      </c>
      <c r="AF206" s="3">
        <v>41730</v>
      </c>
      <c r="AG206">
        <v>6</v>
      </c>
      <c r="AH206">
        <f t="shared" ca="1" si="11"/>
        <v>0.80086459929237019</v>
      </c>
    </row>
    <row r="207" spans="1:34">
      <c r="A207">
        <v>206</v>
      </c>
      <c r="B207" t="s">
        <v>8</v>
      </c>
      <c r="C207">
        <v>4</v>
      </c>
      <c r="D207" t="s">
        <v>135</v>
      </c>
      <c r="E207" t="s">
        <v>81</v>
      </c>
      <c r="F207">
        <v>2</v>
      </c>
      <c r="G207" t="s">
        <v>82</v>
      </c>
      <c r="H207" t="s">
        <v>80</v>
      </c>
      <c r="I207" s="2">
        <v>0.5</v>
      </c>
      <c r="J207" t="s">
        <v>82</v>
      </c>
      <c r="K207" t="s">
        <v>79</v>
      </c>
      <c r="L207" t="s">
        <v>12</v>
      </c>
      <c r="M207">
        <v>0</v>
      </c>
      <c r="N207">
        <v>4</v>
      </c>
      <c r="O207" t="s">
        <v>135</v>
      </c>
      <c r="P207" t="s">
        <v>12</v>
      </c>
      <c r="Q207" s="1" t="s">
        <v>68</v>
      </c>
      <c r="R207" t="s">
        <v>68</v>
      </c>
      <c r="S207" t="e">
        <f>IF(T207="","",INDEX('Backing 4'!U:U,MATCH(T207,'Backing 4'!T:T,0)))</f>
        <v>#N/A</v>
      </c>
      <c r="T207" t="str">
        <f t="shared" si="9"/>
        <v xml:space="preserve"> Manager &amp; Finance</v>
      </c>
      <c r="U207" t="e">
        <f>IF(V207="","",INDEX('Backing 4'!Z:Z,MATCH(V207,'Backing 4'!Y:Y,0)))</f>
        <v>#N/A</v>
      </c>
      <c r="V207" t="str">
        <f t="shared" si="10"/>
        <v xml:space="preserve"> Manager</v>
      </c>
      <c r="W207">
        <v>1</v>
      </c>
      <c r="X207" t="e">
        <f>IF(E207="Y","",IF(Y207="Y",INDEX('Backing 2'!B:B,MATCH(D207,'Backing 2'!C:C,0)),D207))</f>
        <v>#N/A</v>
      </c>
      <c r="Y207" t="s">
        <v>79</v>
      </c>
      <c r="Z207">
        <v>1</v>
      </c>
      <c r="AA207" t="s">
        <v>70</v>
      </c>
      <c r="AB207">
        <v>36</v>
      </c>
      <c r="AC207" t="s">
        <v>36</v>
      </c>
      <c r="AD207" t="s">
        <v>74</v>
      </c>
      <c r="AE207" t="s">
        <v>74</v>
      </c>
      <c r="AF207" s="3">
        <v>42095</v>
      </c>
      <c r="AG207">
        <v>5</v>
      </c>
      <c r="AH207">
        <f t="shared" ca="1" si="11"/>
        <v>6.8199583437918432E-2</v>
      </c>
    </row>
    <row r="208" spans="1:34">
      <c r="A208">
        <v>207</v>
      </c>
      <c r="B208" t="s">
        <v>8</v>
      </c>
      <c r="C208">
        <v>2</v>
      </c>
      <c r="D208" t="s">
        <v>136</v>
      </c>
      <c r="E208" t="s">
        <v>79</v>
      </c>
      <c r="F208">
        <v>0</v>
      </c>
      <c r="G208" t="s">
        <v>82</v>
      </c>
      <c r="H208" t="s">
        <v>82</v>
      </c>
      <c r="I208" s="2">
        <v>0.5</v>
      </c>
      <c r="J208" t="s">
        <v>82</v>
      </c>
      <c r="K208" t="s">
        <v>81</v>
      </c>
      <c r="L208" t="s">
        <v>15</v>
      </c>
      <c r="M208">
        <v>0</v>
      </c>
      <c r="N208">
        <v>2</v>
      </c>
      <c r="O208" t="s">
        <v>136</v>
      </c>
      <c r="P208" t="s">
        <v>15</v>
      </c>
      <c r="Q208" s="1" t="s">
        <v>68</v>
      </c>
      <c r="R208" t="s">
        <v>68</v>
      </c>
      <c r="S208" t="e">
        <f>IF(T208="","",INDEX('Backing 4'!U:U,MATCH(T208,'Backing 4'!T:T,0)))</f>
        <v>#N/A</v>
      </c>
      <c r="T208" t="str">
        <f t="shared" si="9"/>
        <v xml:space="preserve"> Director &amp; Internal Services</v>
      </c>
      <c r="U208" t="s">
        <v>120</v>
      </c>
      <c r="V208" t="str">
        <f t="shared" si="10"/>
        <v xml:space="preserve"> Director</v>
      </c>
      <c r="W208">
        <v>0</v>
      </c>
      <c r="X208" t="str">
        <f>IF(E208="Y","",IF(Y208="Y",INDEX('Backing 2'!B:B,MATCH(D208,'Backing 2'!C:C,0)),D208))</f>
        <v/>
      </c>
      <c r="Y208" t="s">
        <v>81</v>
      </c>
      <c r="Z208">
        <v>0</v>
      </c>
      <c r="AA208" t="s">
        <v>70</v>
      </c>
      <c r="AB208">
        <v>38</v>
      </c>
      <c r="AC208" t="s">
        <v>19</v>
      </c>
      <c r="AD208" t="s">
        <v>19</v>
      </c>
      <c r="AE208" t="s">
        <v>19</v>
      </c>
      <c r="AF208" s="3">
        <v>43922</v>
      </c>
      <c r="AG208">
        <v>0</v>
      </c>
      <c r="AH208">
        <f t="shared" ca="1" si="11"/>
        <v>0.49550947677651214</v>
      </c>
    </row>
    <row r="209" spans="1:34">
      <c r="A209">
        <v>208</v>
      </c>
      <c r="B209" t="s">
        <v>7</v>
      </c>
      <c r="C209">
        <v>6</v>
      </c>
      <c r="D209" t="s">
        <v>134</v>
      </c>
      <c r="E209" t="s">
        <v>81</v>
      </c>
      <c r="F209">
        <v>1</v>
      </c>
      <c r="G209" t="s">
        <v>82</v>
      </c>
      <c r="H209" t="s">
        <v>80</v>
      </c>
      <c r="I209" s="2">
        <v>0.5</v>
      </c>
      <c r="J209" t="s">
        <v>82</v>
      </c>
      <c r="K209" t="s">
        <v>79</v>
      </c>
      <c r="L209" t="s">
        <v>15</v>
      </c>
      <c r="M209">
        <v>0</v>
      </c>
      <c r="N209">
        <v>6</v>
      </c>
      <c r="O209" t="s">
        <v>134</v>
      </c>
      <c r="P209" t="s">
        <v>15</v>
      </c>
      <c r="Q209" s="1" t="s">
        <v>68</v>
      </c>
      <c r="R209" t="s">
        <v>68</v>
      </c>
      <c r="S209" t="e">
        <f>IF(T209="","",INDEX('Backing 4'!U:U,MATCH(T209,'Backing 4'!T:T,0)))</f>
        <v>#N/A</v>
      </c>
      <c r="T209" t="str">
        <f t="shared" si="9"/>
        <v xml:space="preserve"> Junior Officer &amp; Internal Services</v>
      </c>
      <c r="U209" t="e">
        <f>IF(V209="","",INDEX('Backing 4'!Z:Z,MATCH(V209,'Backing 4'!Y:Y,0)))</f>
        <v>#N/A</v>
      </c>
      <c r="V209" t="str">
        <f t="shared" si="10"/>
        <v xml:space="preserve"> Junior Officer</v>
      </c>
      <c r="W209">
        <v>2</v>
      </c>
      <c r="X209" t="str">
        <f>IF(E209="Y","",IF(Y209="Y",INDEX('Backing 2'!B:B,MATCH(D209,'Backing 2'!C:C,0)),D209))</f>
        <v xml:space="preserve"> Junior Officer</v>
      </c>
      <c r="Y209" t="s">
        <v>81</v>
      </c>
      <c r="Z209">
        <v>3</v>
      </c>
      <c r="AA209" t="s">
        <v>69</v>
      </c>
      <c r="AB209">
        <v>25</v>
      </c>
      <c r="AC209" t="s">
        <v>19</v>
      </c>
      <c r="AD209" t="s">
        <v>19</v>
      </c>
      <c r="AE209" t="s">
        <v>19</v>
      </c>
      <c r="AF209" s="3">
        <v>43191</v>
      </c>
      <c r="AG209">
        <v>2</v>
      </c>
      <c r="AH209">
        <f t="shared" ca="1" si="11"/>
        <v>0.66432745524244907</v>
      </c>
    </row>
    <row r="210" spans="1:34">
      <c r="A210">
        <v>209</v>
      </c>
      <c r="B210" t="s">
        <v>7</v>
      </c>
      <c r="C210">
        <v>6</v>
      </c>
      <c r="D210" t="s">
        <v>134</v>
      </c>
      <c r="E210" t="s">
        <v>81</v>
      </c>
      <c r="F210">
        <v>3</v>
      </c>
      <c r="G210" t="s">
        <v>82</v>
      </c>
      <c r="H210" t="s">
        <v>80</v>
      </c>
      <c r="I210" s="2">
        <v>0.5</v>
      </c>
      <c r="J210" t="s">
        <v>82</v>
      </c>
      <c r="K210" t="s">
        <v>79</v>
      </c>
      <c r="L210" t="s">
        <v>14</v>
      </c>
      <c r="M210">
        <v>0</v>
      </c>
      <c r="N210">
        <v>6</v>
      </c>
      <c r="O210" t="s">
        <v>134</v>
      </c>
      <c r="P210" t="s">
        <v>14</v>
      </c>
      <c r="Q210" s="1" t="s">
        <v>68</v>
      </c>
      <c r="R210" t="s">
        <v>68</v>
      </c>
      <c r="S210" t="e">
        <f>IF(T210="","",INDEX('Backing 4'!U:U,MATCH(T210,'Backing 4'!T:T,0)))</f>
        <v>#N/A</v>
      </c>
      <c r="T210" t="str">
        <f t="shared" si="9"/>
        <v xml:space="preserve"> Junior Officer &amp; Operations</v>
      </c>
      <c r="U210" t="e">
        <f>IF(V210="","",INDEX('Backing 4'!Z:Z,MATCH(V210,'Backing 4'!Y:Y,0)))</f>
        <v>#N/A</v>
      </c>
      <c r="V210" t="str">
        <f t="shared" si="10"/>
        <v xml:space="preserve"> Junior Officer</v>
      </c>
      <c r="W210">
        <v>3</v>
      </c>
      <c r="X210" t="str">
        <f>IF(E210="Y","",IF(Y210="Y",INDEX('Backing 2'!B:B,MATCH(D210,'Backing 2'!C:C,0)),D210))</f>
        <v xml:space="preserve"> Junior Officer</v>
      </c>
      <c r="Y210" t="s">
        <v>81</v>
      </c>
      <c r="Z210">
        <v>2</v>
      </c>
      <c r="AA210" t="s">
        <v>69</v>
      </c>
      <c r="AB210">
        <v>28</v>
      </c>
      <c r="AC210" t="s">
        <v>30</v>
      </c>
      <c r="AD210" t="s">
        <v>74</v>
      </c>
      <c r="AE210" t="s">
        <v>74</v>
      </c>
      <c r="AF210" s="3">
        <v>42826</v>
      </c>
      <c r="AG210">
        <v>3</v>
      </c>
      <c r="AH210">
        <f t="shared" ca="1" si="11"/>
        <v>0.88474971984375339</v>
      </c>
    </row>
    <row r="211" spans="1:34">
      <c r="A211">
        <v>210</v>
      </c>
      <c r="B211" t="s">
        <v>7</v>
      </c>
      <c r="C211">
        <v>4</v>
      </c>
      <c r="D211" t="s">
        <v>135</v>
      </c>
      <c r="E211" t="s">
        <v>81</v>
      </c>
      <c r="F211">
        <v>0</v>
      </c>
      <c r="G211" t="s">
        <v>82</v>
      </c>
      <c r="H211" t="s">
        <v>82</v>
      </c>
      <c r="I211" s="2">
        <v>0.5</v>
      </c>
      <c r="J211" t="s">
        <v>80</v>
      </c>
      <c r="K211" t="s">
        <v>79</v>
      </c>
      <c r="L211" t="s">
        <v>16</v>
      </c>
      <c r="M211" t="s">
        <v>83</v>
      </c>
      <c r="N211">
        <v>0</v>
      </c>
      <c r="O211" t="s">
        <v>142</v>
      </c>
      <c r="P211" t="s">
        <v>16</v>
      </c>
      <c r="Q211" s="1" t="s">
        <v>68</v>
      </c>
      <c r="R211" t="s">
        <v>68</v>
      </c>
      <c r="S211" t="e">
        <f>IF(T211="","",INDEX('Backing 4'!U:U,MATCH(T211,'Backing 4'!T:T,0)))</f>
        <v>#N/A</v>
      </c>
      <c r="T211" t="str">
        <f t="shared" si="9"/>
        <v xml:space="preserve"> Manager &amp; Sales &amp; Marketing</v>
      </c>
      <c r="U211" t="e">
        <f>IF(V211="","",INDEX('Backing 4'!Z:Z,MATCH(V211,'Backing 4'!Y:Y,0)))</f>
        <v>#N/A</v>
      </c>
      <c r="V211" t="str">
        <f t="shared" si="10"/>
        <v xml:space="preserve"> Manager</v>
      </c>
      <c r="W211">
        <v>3</v>
      </c>
      <c r="X211" t="str">
        <f>IF(E211="Y","",IF(Y211="Y",INDEX('Backing 2'!B:B,MATCH(D211,'Backing 2'!C:C,0)),D211))</f>
        <v xml:space="preserve"> Manager</v>
      </c>
      <c r="Y211" t="s">
        <v>81</v>
      </c>
      <c r="Z211">
        <v>2</v>
      </c>
      <c r="AA211" t="s">
        <v>72</v>
      </c>
      <c r="AB211">
        <v>51</v>
      </c>
      <c r="AC211" t="s">
        <v>19</v>
      </c>
      <c r="AD211" t="s">
        <v>19</v>
      </c>
      <c r="AE211" t="s">
        <v>19</v>
      </c>
      <c r="AF211" s="3">
        <v>40634</v>
      </c>
      <c r="AG211">
        <v>9</v>
      </c>
      <c r="AH211">
        <f t="shared" ca="1" si="11"/>
        <v>0.51827951385774063</v>
      </c>
    </row>
    <row r="212" spans="1:34">
      <c r="A212">
        <v>211</v>
      </c>
      <c r="B212" t="s">
        <v>8</v>
      </c>
      <c r="C212">
        <v>6</v>
      </c>
      <c r="D212" t="s">
        <v>134</v>
      </c>
      <c r="E212" t="s">
        <v>81</v>
      </c>
      <c r="F212">
        <v>3</v>
      </c>
      <c r="G212" t="s">
        <v>82</v>
      </c>
      <c r="H212" t="s">
        <v>80</v>
      </c>
      <c r="I212" s="2">
        <v>0.5</v>
      </c>
      <c r="J212" t="s">
        <v>82</v>
      </c>
      <c r="K212" t="s">
        <v>79</v>
      </c>
      <c r="L212" t="s">
        <v>14</v>
      </c>
      <c r="M212">
        <v>0</v>
      </c>
      <c r="N212">
        <v>6</v>
      </c>
      <c r="O212" t="s">
        <v>134</v>
      </c>
      <c r="P212" t="s">
        <v>14</v>
      </c>
      <c r="Q212" s="1" t="s">
        <v>68</v>
      </c>
      <c r="R212" t="s">
        <v>68</v>
      </c>
      <c r="S212" t="e">
        <f>IF(T212="","",INDEX('Backing 4'!U:U,MATCH(T212,'Backing 4'!T:T,0)))</f>
        <v>#N/A</v>
      </c>
      <c r="T212" t="str">
        <f t="shared" si="9"/>
        <v xml:space="preserve"> Junior Officer &amp; Operations</v>
      </c>
      <c r="U212" t="e">
        <f>IF(V212="","",INDEX('Backing 4'!Z:Z,MATCH(V212,'Backing 4'!Y:Y,0)))</f>
        <v>#N/A</v>
      </c>
      <c r="V212" t="str">
        <f t="shared" si="10"/>
        <v xml:space="preserve"> Junior Officer</v>
      </c>
      <c r="W212">
        <v>3</v>
      </c>
      <c r="X212" t="str">
        <f>IF(E212="Y","",IF(Y212="Y",INDEX('Backing 2'!B:B,MATCH(D212,'Backing 2'!C:C,0)),D212))</f>
        <v xml:space="preserve"> Junior Officer</v>
      </c>
      <c r="Y212" t="s">
        <v>81</v>
      </c>
      <c r="Z212">
        <v>3</v>
      </c>
      <c r="AA212" t="s">
        <v>69</v>
      </c>
      <c r="AB212">
        <v>21</v>
      </c>
      <c r="AC212" t="s">
        <v>19</v>
      </c>
      <c r="AD212" t="s">
        <v>19</v>
      </c>
      <c r="AE212" t="s">
        <v>19</v>
      </c>
      <c r="AF212" s="3">
        <v>42826</v>
      </c>
      <c r="AG212">
        <v>3</v>
      </c>
      <c r="AH212">
        <f t="shared" ca="1" si="11"/>
        <v>0.16141113188540601</v>
      </c>
    </row>
    <row r="213" spans="1:34">
      <c r="A213">
        <v>212</v>
      </c>
      <c r="B213" t="s">
        <v>8</v>
      </c>
      <c r="C213">
        <v>5</v>
      </c>
      <c r="D213" t="s">
        <v>138</v>
      </c>
      <c r="E213" t="s">
        <v>79</v>
      </c>
      <c r="F213">
        <v>0</v>
      </c>
      <c r="G213" t="s">
        <v>82</v>
      </c>
      <c r="H213" t="s">
        <v>82</v>
      </c>
      <c r="I213" s="2">
        <v>0.5</v>
      </c>
      <c r="J213" t="s">
        <v>82</v>
      </c>
      <c r="K213" t="s">
        <v>81</v>
      </c>
      <c r="L213" t="s">
        <v>16</v>
      </c>
      <c r="M213">
        <v>0</v>
      </c>
      <c r="N213">
        <v>5</v>
      </c>
      <c r="O213" t="s">
        <v>138</v>
      </c>
      <c r="P213" t="s">
        <v>16</v>
      </c>
      <c r="Q213" s="1" t="s">
        <v>68</v>
      </c>
      <c r="R213" t="s">
        <v>68</v>
      </c>
      <c r="S213" t="e">
        <f>IF(T213="","",INDEX('Backing 4'!U:U,MATCH(T213,'Backing 4'!T:T,0)))</f>
        <v>#N/A</v>
      </c>
      <c r="T213" t="str">
        <f t="shared" si="9"/>
        <v xml:space="preserve"> Senior Officer &amp; Sales &amp; Marketing</v>
      </c>
      <c r="U213" t="e">
        <f>IF(V213="","",INDEX('Backing 4'!Z:Z,MATCH(V213,'Backing 4'!Y:Y,0)))</f>
        <v>#N/A</v>
      </c>
      <c r="V213" t="str">
        <f t="shared" si="10"/>
        <v xml:space="preserve"> Senior Officer</v>
      </c>
      <c r="W213">
        <v>0</v>
      </c>
      <c r="X213" t="str">
        <f>IF(E213="Y","",IF(Y213="Y",INDEX('Backing 2'!B:B,MATCH(D213,'Backing 2'!C:C,0)),D213))</f>
        <v/>
      </c>
      <c r="Y213" t="s">
        <v>81</v>
      </c>
      <c r="Z213">
        <v>0</v>
      </c>
      <c r="AA213" t="s">
        <v>69</v>
      </c>
      <c r="AB213">
        <v>27</v>
      </c>
      <c r="AC213" t="s">
        <v>19</v>
      </c>
      <c r="AD213" t="s">
        <v>19</v>
      </c>
      <c r="AE213" t="s">
        <v>19</v>
      </c>
      <c r="AF213" s="3">
        <v>43922</v>
      </c>
      <c r="AG213">
        <v>0</v>
      </c>
      <c r="AH213">
        <f t="shared" ca="1" si="11"/>
        <v>0.35182321556318608</v>
      </c>
    </row>
    <row r="214" spans="1:34">
      <c r="A214">
        <v>213</v>
      </c>
      <c r="B214" t="s">
        <v>7</v>
      </c>
      <c r="C214">
        <v>2</v>
      </c>
      <c r="D214" t="s">
        <v>136</v>
      </c>
      <c r="E214" t="s">
        <v>81</v>
      </c>
      <c r="F214">
        <v>4</v>
      </c>
      <c r="G214" t="s">
        <v>82</v>
      </c>
      <c r="H214" t="s">
        <v>80</v>
      </c>
      <c r="I214" s="2">
        <v>0.5</v>
      </c>
      <c r="J214" t="s">
        <v>82</v>
      </c>
      <c r="K214" t="s">
        <v>79</v>
      </c>
      <c r="L214" t="s">
        <v>13</v>
      </c>
      <c r="M214">
        <v>0</v>
      </c>
      <c r="N214">
        <v>2</v>
      </c>
      <c r="O214" t="s">
        <v>136</v>
      </c>
      <c r="P214" t="s">
        <v>13</v>
      </c>
      <c r="Q214" s="1" t="s">
        <v>68</v>
      </c>
      <c r="R214" t="s">
        <v>68</v>
      </c>
      <c r="S214" t="e">
        <f>IF(T214="","",INDEX('Backing 4'!U:U,MATCH(T214,'Backing 4'!T:T,0)))</f>
        <v>#N/A</v>
      </c>
      <c r="T214" t="str">
        <f t="shared" si="9"/>
        <v xml:space="preserve"> Director &amp; HR</v>
      </c>
      <c r="U214" t="s">
        <v>120</v>
      </c>
      <c r="V214" t="str">
        <f t="shared" si="10"/>
        <v xml:space="preserve"> Director</v>
      </c>
      <c r="W214">
        <v>3</v>
      </c>
      <c r="X214" t="str">
        <f>IF(E214="Y","",IF(Y214="Y",INDEX('Backing 2'!B:B,MATCH(D214,'Backing 2'!C:C,0)),D214))</f>
        <v xml:space="preserve"> Director</v>
      </c>
      <c r="Y214" t="s">
        <v>81</v>
      </c>
      <c r="Z214">
        <v>2</v>
      </c>
      <c r="AA214" t="s">
        <v>71</v>
      </c>
      <c r="AB214">
        <v>44</v>
      </c>
      <c r="AC214" t="s">
        <v>19</v>
      </c>
      <c r="AD214" t="s">
        <v>19</v>
      </c>
      <c r="AE214" t="s">
        <v>19</v>
      </c>
      <c r="AF214" s="3">
        <v>42826</v>
      </c>
      <c r="AG214">
        <v>3</v>
      </c>
      <c r="AH214">
        <f t="shared" ca="1" si="11"/>
        <v>0.81354297836025857</v>
      </c>
    </row>
    <row r="215" spans="1:34">
      <c r="A215">
        <v>214</v>
      </c>
      <c r="B215" t="s">
        <v>7</v>
      </c>
      <c r="C215">
        <v>6</v>
      </c>
      <c r="D215" t="s">
        <v>134</v>
      </c>
      <c r="E215" t="s">
        <v>79</v>
      </c>
      <c r="F215">
        <v>0</v>
      </c>
      <c r="G215" t="s">
        <v>82</v>
      </c>
      <c r="H215" t="s">
        <v>82</v>
      </c>
      <c r="I215" s="2">
        <v>0.5</v>
      </c>
      <c r="J215" t="s">
        <v>82</v>
      </c>
      <c r="K215" t="s">
        <v>81</v>
      </c>
      <c r="L215" t="s">
        <v>16</v>
      </c>
      <c r="M215">
        <v>0</v>
      </c>
      <c r="N215">
        <v>6</v>
      </c>
      <c r="O215" t="s">
        <v>134</v>
      </c>
      <c r="P215" t="s">
        <v>16</v>
      </c>
      <c r="Q215" s="1" t="s">
        <v>68</v>
      </c>
      <c r="R215" t="s">
        <v>68</v>
      </c>
      <c r="S215" t="e">
        <f>IF(T215="","",INDEX('Backing 4'!U:U,MATCH(T215,'Backing 4'!T:T,0)))</f>
        <v>#N/A</v>
      </c>
      <c r="T215" t="str">
        <f t="shared" si="9"/>
        <v xml:space="preserve"> Junior Officer &amp; Sales &amp; Marketing</v>
      </c>
      <c r="U215" t="e">
        <f>IF(V215="","",INDEX('Backing 4'!Z:Z,MATCH(V215,'Backing 4'!Y:Y,0)))</f>
        <v>#N/A</v>
      </c>
      <c r="V215" t="str">
        <f t="shared" si="10"/>
        <v xml:space="preserve"> Junior Officer</v>
      </c>
      <c r="W215">
        <v>0</v>
      </c>
      <c r="X215" t="str">
        <f>IF(E215="Y","",IF(Y215="Y",INDEX('Backing 2'!B:B,MATCH(D215,'Backing 2'!C:C,0)),D215))</f>
        <v/>
      </c>
      <c r="Y215" t="s">
        <v>81</v>
      </c>
      <c r="Z215">
        <v>0</v>
      </c>
      <c r="AA215" t="s">
        <v>69</v>
      </c>
      <c r="AB215">
        <v>28</v>
      </c>
      <c r="AC215" t="s">
        <v>31</v>
      </c>
      <c r="AD215" t="s">
        <v>74</v>
      </c>
      <c r="AE215" t="s">
        <v>74</v>
      </c>
      <c r="AF215" s="3">
        <v>43922</v>
      </c>
      <c r="AG215">
        <v>0</v>
      </c>
      <c r="AH215">
        <f t="shared" ca="1" si="11"/>
        <v>0.58230618286815838</v>
      </c>
    </row>
    <row r="216" spans="1:34">
      <c r="A216">
        <v>215</v>
      </c>
      <c r="B216" t="s">
        <v>8</v>
      </c>
      <c r="C216">
        <v>4</v>
      </c>
      <c r="D216" t="s">
        <v>135</v>
      </c>
      <c r="E216" t="s">
        <v>81</v>
      </c>
      <c r="F216">
        <v>1</v>
      </c>
      <c r="G216" t="s">
        <v>80</v>
      </c>
      <c r="H216" t="s">
        <v>80</v>
      </c>
      <c r="I216" s="2">
        <v>0.5</v>
      </c>
      <c r="J216" t="s">
        <v>82</v>
      </c>
      <c r="K216" t="s">
        <v>79</v>
      </c>
      <c r="L216" t="s">
        <v>14</v>
      </c>
      <c r="M216">
        <v>0</v>
      </c>
      <c r="N216">
        <v>3</v>
      </c>
      <c r="O216" t="s">
        <v>137</v>
      </c>
      <c r="P216" t="s">
        <v>14</v>
      </c>
      <c r="Q216" s="1" t="s">
        <v>68</v>
      </c>
      <c r="R216" t="s">
        <v>68</v>
      </c>
      <c r="S216" t="e">
        <f>IF(T216="","",INDEX('Backing 4'!U:U,MATCH(T216,'Backing 4'!T:T,0)))</f>
        <v>#N/A</v>
      </c>
      <c r="T216" t="str">
        <f t="shared" si="9"/>
        <v xml:space="preserve"> Manager &amp; Operations</v>
      </c>
      <c r="U216" t="e">
        <f>IF(V216="","",INDEX('Backing 4'!Z:Z,MATCH(V216,'Backing 4'!Y:Y,0)))</f>
        <v>#N/A</v>
      </c>
      <c r="V216" t="str">
        <f t="shared" si="10"/>
        <v xml:space="preserve"> Manager</v>
      </c>
      <c r="W216">
        <v>3</v>
      </c>
      <c r="X216" t="str">
        <f>IF(E216="Y","",IF(Y216="Y",INDEX('Backing 2'!B:B,MATCH(D216,'Backing 2'!C:C,0)),D216))</f>
        <v xml:space="preserve"> Manager</v>
      </c>
      <c r="Y216" t="s">
        <v>81</v>
      </c>
      <c r="Z216">
        <v>3</v>
      </c>
      <c r="AA216" t="s">
        <v>70</v>
      </c>
      <c r="AB216">
        <v>37</v>
      </c>
      <c r="AC216" t="s">
        <v>19</v>
      </c>
      <c r="AD216" t="s">
        <v>19</v>
      </c>
      <c r="AE216" t="s">
        <v>19</v>
      </c>
      <c r="AF216" s="3">
        <v>40634</v>
      </c>
      <c r="AG216">
        <v>9</v>
      </c>
      <c r="AH216">
        <f t="shared" ca="1" si="11"/>
        <v>0.65222412956442499</v>
      </c>
    </row>
    <row r="217" spans="1:34">
      <c r="A217">
        <v>216</v>
      </c>
      <c r="B217" t="s">
        <v>7</v>
      </c>
      <c r="C217">
        <v>5</v>
      </c>
      <c r="D217" t="s">
        <v>138</v>
      </c>
      <c r="E217" t="s">
        <v>81</v>
      </c>
      <c r="F217">
        <v>0</v>
      </c>
      <c r="G217" t="s">
        <v>82</v>
      </c>
      <c r="H217" t="s">
        <v>82</v>
      </c>
      <c r="I217" s="2">
        <v>0.5</v>
      </c>
      <c r="J217" t="s">
        <v>80</v>
      </c>
      <c r="K217" t="s">
        <v>79</v>
      </c>
      <c r="L217" t="s">
        <v>14</v>
      </c>
      <c r="M217" t="s">
        <v>83</v>
      </c>
      <c r="N217">
        <v>0</v>
      </c>
      <c r="O217" t="s">
        <v>142</v>
      </c>
      <c r="P217" t="s">
        <v>14</v>
      </c>
      <c r="Q217" s="1" t="s">
        <v>68</v>
      </c>
      <c r="R217" t="s">
        <v>68</v>
      </c>
      <c r="S217" t="e">
        <f>IF(T217="","",INDEX('Backing 4'!U:U,MATCH(T217,'Backing 4'!T:T,0)))</f>
        <v>#N/A</v>
      </c>
      <c r="T217" t="str">
        <f t="shared" si="9"/>
        <v xml:space="preserve"> Senior Officer &amp; Operations</v>
      </c>
      <c r="U217" t="e">
        <f>IF(V217="","",INDEX('Backing 4'!Z:Z,MATCH(V217,'Backing 4'!Y:Y,0)))</f>
        <v>#N/A</v>
      </c>
      <c r="V217" t="str">
        <f t="shared" si="10"/>
        <v xml:space="preserve"> Senior Officer</v>
      </c>
      <c r="W217">
        <v>3</v>
      </c>
      <c r="X217" t="str">
        <f>IF(E217="Y","",IF(Y217="Y",INDEX('Backing 2'!B:B,MATCH(D217,'Backing 2'!C:C,0)),D217))</f>
        <v xml:space="preserve"> Senior Officer</v>
      </c>
      <c r="Y217" t="s">
        <v>81</v>
      </c>
      <c r="Z217">
        <v>2</v>
      </c>
      <c r="AA217" t="s">
        <v>71</v>
      </c>
      <c r="AB217">
        <v>44</v>
      </c>
      <c r="AC217" t="s">
        <v>31</v>
      </c>
      <c r="AD217" t="s">
        <v>74</v>
      </c>
      <c r="AE217" t="s">
        <v>74</v>
      </c>
      <c r="AF217" s="3">
        <v>40634</v>
      </c>
      <c r="AG217">
        <v>9</v>
      </c>
      <c r="AH217">
        <f t="shared" ca="1" si="11"/>
        <v>0.56272401306221587</v>
      </c>
    </row>
    <row r="218" spans="1:34">
      <c r="A218">
        <v>217</v>
      </c>
      <c r="B218" t="s">
        <v>7</v>
      </c>
      <c r="C218">
        <v>6</v>
      </c>
      <c r="D218" t="s">
        <v>134</v>
      </c>
      <c r="E218" t="s">
        <v>81</v>
      </c>
      <c r="F218">
        <v>2</v>
      </c>
      <c r="G218" t="s">
        <v>82</v>
      </c>
      <c r="H218" t="s">
        <v>80</v>
      </c>
      <c r="I218" s="2">
        <v>0.5</v>
      </c>
      <c r="J218" t="s">
        <v>82</v>
      </c>
      <c r="K218" t="s">
        <v>79</v>
      </c>
      <c r="L218" t="s">
        <v>16</v>
      </c>
      <c r="M218">
        <v>0</v>
      </c>
      <c r="N218">
        <v>6</v>
      </c>
      <c r="O218" t="s">
        <v>134</v>
      </c>
      <c r="P218" t="s">
        <v>16</v>
      </c>
      <c r="Q218" s="1" t="s">
        <v>68</v>
      </c>
      <c r="R218" t="s">
        <v>68</v>
      </c>
      <c r="S218" t="e">
        <f>IF(T218="","",INDEX('Backing 4'!U:U,MATCH(T218,'Backing 4'!T:T,0)))</f>
        <v>#N/A</v>
      </c>
      <c r="T218" t="str">
        <f t="shared" si="9"/>
        <v xml:space="preserve"> Junior Officer &amp; Sales &amp; Marketing</v>
      </c>
      <c r="U218" t="e">
        <f>IF(V218="","",INDEX('Backing 4'!Z:Z,MATCH(V218,'Backing 4'!Y:Y,0)))</f>
        <v>#N/A</v>
      </c>
      <c r="V218" t="str">
        <f t="shared" si="10"/>
        <v xml:space="preserve"> Junior Officer</v>
      </c>
      <c r="W218">
        <v>1</v>
      </c>
      <c r="X218" t="str">
        <f>IF(E218="Y","",IF(Y218="Y",INDEX('Backing 2'!B:B,MATCH(D218,'Backing 2'!C:C,0)),D218))</f>
        <v xml:space="preserve"> Junior Officer</v>
      </c>
      <c r="Y218" t="s">
        <v>81</v>
      </c>
      <c r="Z218">
        <v>0</v>
      </c>
      <c r="AA218" t="s">
        <v>69</v>
      </c>
      <c r="AB218">
        <v>22</v>
      </c>
      <c r="AC218" t="s">
        <v>19</v>
      </c>
      <c r="AD218" t="s">
        <v>19</v>
      </c>
      <c r="AE218" t="s">
        <v>19</v>
      </c>
      <c r="AF218" s="3">
        <v>43556</v>
      </c>
      <c r="AG218">
        <v>1</v>
      </c>
      <c r="AH218">
        <f t="shared" ca="1" si="11"/>
        <v>0.20753282738558421</v>
      </c>
    </row>
    <row r="219" spans="1:34">
      <c r="A219">
        <v>218</v>
      </c>
      <c r="B219" t="s">
        <v>8</v>
      </c>
      <c r="C219">
        <v>5</v>
      </c>
      <c r="D219" t="s">
        <v>138</v>
      </c>
      <c r="E219" t="s">
        <v>81</v>
      </c>
      <c r="F219">
        <v>2</v>
      </c>
      <c r="G219" t="s">
        <v>82</v>
      </c>
      <c r="H219" t="s">
        <v>80</v>
      </c>
      <c r="I219" s="2">
        <v>0.5</v>
      </c>
      <c r="J219" t="s">
        <v>82</v>
      </c>
      <c r="K219" t="s">
        <v>79</v>
      </c>
      <c r="L219" t="s">
        <v>16</v>
      </c>
      <c r="M219">
        <v>0</v>
      </c>
      <c r="N219">
        <v>5</v>
      </c>
      <c r="O219" t="s">
        <v>138</v>
      </c>
      <c r="P219" t="s">
        <v>16</v>
      </c>
      <c r="Q219" s="1" t="s">
        <v>68</v>
      </c>
      <c r="R219" t="s">
        <v>68</v>
      </c>
      <c r="S219" t="e">
        <f>IF(T219="","",INDEX('Backing 4'!U:U,MATCH(T219,'Backing 4'!T:T,0)))</f>
        <v>#N/A</v>
      </c>
      <c r="T219" t="str">
        <f t="shared" si="9"/>
        <v xml:space="preserve"> Senior Officer &amp; Sales &amp; Marketing</v>
      </c>
      <c r="U219" t="e">
        <f>IF(V219="","",INDEX('Backing 4'!Z:Z,MATCH(V219,'Backing 4'!Y:Y,0)))</f>
        <v>#N/A</v>
      </c>
      <c r="V219" t="str">
        <f t="shared" si="10"/>
        <v xml:space="preserve"> Senior Officer</v>
      </c>
      <c r="W219">
        <v>3</v>
      </c>
      <c r="X219" t="str">
        <f>IF(E219="Y","",IF(Y219="Y",INDEX('Backing 2'!B:B,MATCH(D219,'Backing 2'!C:C,0)),D219))</f>
        <v xml:space="preserve"> Senior Officer</v>
      </c>
      <c r="Y219" t="s">
        <v>81</v>
      </c>
      <c r="Z219">
        <v>3</v>
      </c>
      <c r="AA219" t="s">
        <v>69</v>
      </c>
      <c r="AB219">
        <v>29</v>
      </c>
      <c r="AC219" t="s">
        <v>19</v>
      </c>
      <c r="AD219" t="s">
        <v>19</v>
      </c>
      <c r="AE219" t="s">
        <v>19</v>
      </c>
      <c r="AF219" s="3">
        <v>41365</v>
      </c>
      <c r="AG219">
        <v>7</v>
      </c>
      <c r="AH219">
        <f t="shared" ca="1" si="11"/>
        <v>0.20421440378624223</v>
      </c>
    </row>
    <row r="220" spans="1:34">
      <c r="A220">
        <v>219</v>
      </c>
      <c r="B220" t="s">
        <v>7</v>
      </c>
      <c r="C220">
        <v>3</v>
      </c>
      <c r="D220" t="s">
        <v>137</v>
      </c>
      <c r="E220" t="s">
        <v>79</v>
      </c>
      <c r="F220">
        <v>0</v>
      </c>
      <c r="G220" t="s">
        <v>82</v>
      </c>
      <c r="H220" t="s">
        <v>82</v>
      </c>
      <c r="I220" s="2">
        <v>0.5</v>
      </c>
      <c r="J220" t="s">
        <v>82</v>
      </c>
      <c r="K220" t="s">
        <v>81</v>
      </c>
      <c r="L220" t="s">
        <v>14</v>
      </c>
      <c r="M220">
        <v>0</v>
      </c>
      <c r="N220">
        <v>3</v>
      </c>
      <c r="O220" t="s">
        <v>137</v>
      </c>
      <c r="P220" t="s">
        <v>14</v>
      </c>
      <c r="Q220" s="1" t="s">
        <v>68</v>
      </c>
      <c r="R220" t="s">
        <v>68</v>
      </c>
      <c r="S220" t="e">
        <f>IF(T220="","",INDEX('Backing 4'!U:U,MATCH(T220,'Backing 4'!T:T,0)))</f>
        <v>#N/A</v>
      </c>
      <c r="T220" t="str">
        <f t="shared" si="9"/>
        <v xml:space="preserve"> Senior Manager &amp; Operations</v>
      </c>
      <c r="U220" t="e">
        <f>IF(V220="","",INDEX('Backing 4'!Z:Z,MATCH(V220,'Backing 4'!Y:Y,0)))</f>
        <v>#N/A</v>
      </c>
      <c r="V220" t="str">
        <f t="shared" si="10"/>
        <v xml:space="preserve"> Senior Manager</v>
      </c>
      <c r="W220">
        <v>0</v>
      </c>
      <c r="X220" t="str">
        <f>IF(E220="Y","",IF(Y220="Y",INDEX('Backing 2'!B:B,MATCH(D220,'Backing 2'!C:C,0)),D220))</f>
        <v/>
      </c>
      <c r="Y220" t="s">
        <v>81</v>
      </c>
      <c r="Z220">
        <v>0</v>
      </c>
      <c r="AA220" t="s">
        <v>70</v>
      </c>
      <c r="AB220">
        <v>36</v>
      </c>
      <c r="AC220" t="s">
        <v>19</v>
      </c>
      <c r="AD220" t="s">
        <v>19</v>
      </c>
      <c r="AE220" t="s">
        <v>19</v>
      </c>
      <c r="AF220" s="3">
        <v>43922</v>
      </c>
      <c r="AG220">
        <v>0</v>
      </c>
      <c r="AH220">
        <f t="shared" ca="1" si="11"/>
        <v>6.6805435902527632E-2</v>
      </c>
    </row>
    <row r="221" spans="1:34">
      <c r="A221">
        <v>220</v>
      </c>
      <c r="B221" t="s">
        <v>8</v>
      </c>
      <c r="C221">
        <v>5</v>
      </c>
      <c r="D221" t="s">
        <v>138</v>
      </c>
      <c r="E221" t="s">
        <v>81</v>
      </c>
      <c r="F221">
        <v>3</v>
      </c>
      <c r="G221" t="s">
        <v>82</v>
      </c>
      <c r="H221" t="s">
        <v>80</v>
      </c>
      <c r="I221" s="2">
        <v>0.5</v>
      </c>
      <c r="J221" t="s">
        <v>82</v>
      </c>
      <c r="K221" t="s">
        <v>79</v>
      </c>
      <c r="L221" t="s">
        <v>16</v>
      </c>
      <c r="M221">
        <v>0</v>
      </c>
      <c r="N221">
        <v>5</v>
      </c>
      <c r="O221" t="s">
        <v>138</v>
      </c>
      <c r="P221" t="s">
        <v>16</v>
      </c>
      <c r="Q221" s="1" t="s">
        <v>68</v>
      </c>
      <c r="R221" t="s">
        <v>68</v>
      </c>
      <c r="S221" t="e">
        <f>IF(T221="","",INDEX('Backing 4'!U:U,MATCH(T221,'Backing 4'!T:T,0)))</f>
        <v>#N/A</v>
      </c>
      <c r="T221" t="str">
        <f t="shared" si="9"/>
        <v xml:space="preserve"> Senior Officer &amp; Sales &amp; Marketing</v>
      </c>
      <c r="U221" t="e">
        <f>IF(V221="","",INDEX('Backing 4'!Z:Z,MATCH(V221,'Backing 4'!Y:Y,0)))</f>
        <v>#N/A</v>
      </c>
      <c r="V221" t="str">
        <f t="shared" si="10"/>
        <v xml:space="preserve"> Senior Officer</v>
      </c>
      <c r="W221">
        <v>4</v>
      </c>
      <c r="X221" t="str">
        <f>IF(E221="Y","",IF(Y221="Y",INDEX('Backing 2'!B:B,MATCH(D221,'Backing 2'!C:C,0)),D221))</f>
        <v xml:space="preserve"> Senior Officer</v>
      </c>
      <c r="Y221" t="s">
        <v>81</v>
      </c>
      <c r="Z221">
        <v>3</v>
      </c>
      <c r="AA221" t="s">
        <v>69</v>
      </c>
      <c r="AB221">
        <v>29</v>
      </c>
      <c r="AC221" t="s">
        <v>30</v>
      </c>
      <c r="AD221" t="s">
        <v>74</v>
      </c>
      <c r="AE221" t="s">
        <v>74</v>
      </c>
      <c r="AF221" s="3">
        <v>40634</v>
      </c>
      <c r="AG221">
        <v>9</v>
      </c>
      <c r="AH221">
        <f t="shared" ca="1" si="11"/>
        <v>0.98218302797046275</v>
      </c>
    </row>
    <row r="222" spans="1:34">
      <c r="A222">
        <v>221</v>
      </c>
      <c r="B222" t="s">
        <v>7</v>
      </c>
      <c r="C222">
        <v>5</v>
      </c>
      <c r="D222" t="s">
        <v>138</v>
      </c>
      <c r="E222" t="s">
        <v>79</v>
      </c>
      <c r="F222">
        <v>0</v>
      </c>
      <c r="G222" t="s">
        <v>82</v>
      </c>
      <c r="H222" t="s">
        <v>82</v>
      </c>
      <c r="I222" s="2">
        <v>0.5</v>
      </c>
      <c r="J222" t="s">
        <v>82</v>
      </c>
      <c r="K222" t="s">
        <v>81</v>
      </c>
      <c r="L222" t="s">
        <v>17</v>
      </c>
      <c r="M222">
        <v>0</v>
      </c>
      <c r="N222">
        <v>5</v>
      </c>
      <c r="O222" t="s">
        <v>138</v>
      </c>
      <c r="P222" t="s">
        <v>17</v>
      </c>
      <c r="Q222" s="1" t="s">
        <v>68</v>
      </c>
      <c r="R222" t="s">
        <v>68</v>
      </c>
      <c r="S222" t="e">
        <f>IF(T222="","",INDEX('Backing 4'!U:U,MATCH(T222,'Backing 4'!T:T,0)))</f>
        <v>#N/A</v>
      </c>
      <c r="T222" t="str">
        <f t="shared" si="9"/>
        <v xml:space="preserve"> Senior Officer &amp; Strategy</v>
      </c>
      <c r="U222" t="e">
        <f>IF(V222="","",INDEX('Backing 4'!Z:Z,MATCH(V222,'Backing 4'!Y:Y,0)))</f>
        <v>#N/A</v>
      </c>
      <c r="V222" t="str">
        <f t="shared" si="10"/>
        <v xml:space="preserve"> Senior Officer</v>
      </c>
      <c r="W222">
        <v>0</v>
      </c>
      <c r="X222" t="str">
        <f>IF(E222="Y","",IF(Y222="Y",INDEX('Backing 2'!B:B,MATCH(D222,'Backing 2'!C:C,0)),D222))</f>
        <v/>
      </c>
      <c r="Y222" t="s">
        <v>81</v>
      </c>
      <c r="Z222">
        <v>0</v>
      </c>
      <c r="AA222" t="s">
        <v>69</v>
      </c>
      <c r="AB222">
        <v>28</v>
      </c>
      <c r="AC222" t="s">
        <v>19</v>
      </c>
      <c r="AD222" t="s">
        <v>19</v>
      </c>
      <c r="AE222" t="s">
        <v>19</v>
      </c>
      <c r="AF222" s="3">
        <v>43922</v>
      </c>
      <c r="AG222">
        <v>0</v>
      </c>
      <c r="AH222">
        <f t="shared" ca="1" si="11"/>
        <v>0.17779498996302034</v>
      </c>
    </row>
    <row r="223" spans="1:34">
      <c r="A223">
        <v>222</v>
      </c>
      <c r="B223" t="s">
        <v>8</v>
      </c>
      <c r="C223">
        <v>2</v>
      </c>
      <c r="D223" t="s">
        <v>136</v>
      </c>
      <c r="E223" t="s">
        <v>81</v>
      </c>
      <c r="F223">
        <v>3</v>
      </c>
      <c r="G223" t="s">
        <v>80</v>
      </c>
      <c r="H223" t="s">
        <v>80</v>
      </c>
      <c r="I223" s="2">
        <v>0.5</v>
      </c>
      <c r="J223" t="s">
        <v>82</v>
      </c>
      <c r="K223" t="s">
        <v>79</v>
      </c>
      <c r="L223" t="s">
        <v>16</v>
      </c>
      <c r="M223">
        <v>0</v>
      </c>
      <c r="N223">
        <v>1</v>
      </c>
      <c r="O223" t="s">
        <v>139</v>
      </c>
      <c r="P223" t="s">
        <v>16</v>
      </c>
      <c r="Q223" s="1" t="s">
        <v>68</v>
      </c>
      <c r="R223" t="s">
        <v>68</v>
      </c>
      <c r="S223" t="e">
        <f>IF(T223="","",INDEX('Backing 4'!U:U,MATCH(T223,'Backing 4'!T:T,0)))</f>
        <v>#N/A</v>
      </c>
      <c r="T223" t="str">
        <f t="shared" si="9"/>
        <v xml:space="preserve"> Director &amp; Sales &amp; Marketing</v>
      </c>
      <c r="U223" t="s">
        <v>120</v>
      </c>
      <c r="V223" t="str">
        <f t="shared" si="10"/>
        <v xml:space="preserve"> Director</v>
      </c>
      <c r="W223">
        <v>6</v>
      </c>
      <c r="X223" t="str">
        <f>IF(E223="Y","",IF(Y223="Y",INDEX('Backing 2'!B:B,MATCH(D223,'Backing 2'!C:C,0)),D223))</f>
        <v xml:space="preserve"> Director</v>
      </c>
      <c r="Y223" t="s">
        <v>81</v>
      </c>
      <c r="Z223">
        <v>3</v>
      </c>
      <c r="AA223" t="s">
        <v>70</v>
      </c>
      <c r="AB223">
        <v>39</v>
      </c>
      <c r="AC223" t="s">
        <v>19</v>
      </c>
      <c r="AD223" t="s">
        <v>19</v>
      </c>
      <c r="AE223" t="s">
        <v>19</v>
      </c>
      <c r="AF223" s="3">
        <v>41000</v>
      </c>
      <c r="AG223">
        <v>8</v>
      </c>
      <c r="AH223">
        <f t="shared" ca="1" si="11"/>
        <v>0.72900156432822227</v>
      </c>
    </row>
    <row r="224" spans="1:34">
      <c r="A224">
        <v>223</v>
      </c>
      <c r="B224" t="s">
        <v>7</v>
      </c>
      <c r="C224">
        <v>5</v>
      </c>
      <c r="D224" t="s">
        <v>138</v>
      </c>
      <c r="E224" t="s">
        <v>81</v>
      </c>
      <c r="F224">
        <v>0</v>
      </c>
      <c r="G224" t="s">
        <v>82</v>
      </c>
      <c r="H224" t="s">
        <v>82</v>
      </c>
      <c r="I224" s="2">
        <v>0.5</v>
      </c>
      <c r="J224" t="s">
        <v>80</v>
      </c>
      <c r="K224" t="s">
        <v>79</v>
      </c>
      <c r="L224" t="s">
        <v>16</v>
      </c>
      <c r="M224" t="s">
        <v>83</v>
      </c>
      <c r="N224">
        <v>0</v>
      </c>
      <c r="O224" t="s">
        <v>142</v>
      </c>
      <c r="P224" t="s">
        <v>16</v>
      </c>
      <c r="Q224" s="1" t="s">
        <v>68</v>
      </c>
      <c r="R224" t="s">
        <v>68</v>
      </c>
      <c r="S224" t="e">
        <f>IF(T224="","",INDEX('Backing 4'!U:U,MATCH(T224,'Backing 4'!T:T,0)))</f>
        <v>#N/A</v>
      </c>
      <c r="T224" t="str">
        <f t="shared" si="9"/>
        <v xml:space="preserve"> Senior Officer &amp; Sales &amp; Marketing</v>
      </c>
      <c r="U224" t="e">
        <f>IF(V224="","",INDEX('Backing 4'!Z:Z,MATCH(V224,'Backing 4'!Y:Y,0)))</f>
        <v>#N/A</v>
      </c>
      <c r="V224" t="str">
        <f t="shared" si="10"/>
        <v xml:space="preserve"> Senior Officer</v>
      </c>
      <c r="W224">
        <v>5</v>
      </c>
      <c r="X224" t="str">
        <f>IF(E224="Y","",IF(Y224="Y",INDEX('Backing 2'!B:B,MATCH(D224,'Backing 2'!C:C,0)),D224))</f>
        <v xml:space="preserve"> Senior Officer</v>
      </c>
      <c r="Y224" t="s">
        <v>81</v>
      </c>
      <c r="Z224">
        <v>3</v>
      </c>
      <c r="AA224" t="s">
        <v>69</v>
      </c>
      <c r="AB224">
        <v>29</v>
      </c>
      <c r="AC224" t="s">
        <v>19</v>
      </c>
      <c r="AD224" t="s">
        <v>19</v>
      </c>
      <c r="AE224" t="s">
        <v>19</v>
      </c>
      <c r="AF224" s="3">
        <v>40634</v>
      </c>
      <c r="AG224">
        <v>9</v>
      </c>
      <c r="AH224">
        <f t="shared" ca="1" si="11"/>
        <v>0.30960537204744842</v>
      </c>
    </row>
    <row r="225" spans="1:34">
      <c r="A225">
        <v>224</v>
      </c>
      <c r="B225" t="s">
        <v>8</v>
      </c>
      <c r="C225">
        <v>3</v>
      </c>
      <c r="D225" t="s">
        <v>137</v>
      </c>
      <c r="E225" t="s">
        <v>81</v>
      </c>
      <c r="F225">
        <v>2</v>
      </c>
      <c r="G225" t="s">
        <v>82</v>
      </c>
      <c r="H225" t="s">
        <v>80</v>
      </c>
      <c r="I225" s="2">
        <v>0.5</v>
      </c>
      <c r="J225" t="s">
        <v>82</v>
      </c>
      <c r="K225" t="s">
        <v>79</v>
      </c>
      <c r="L225" t="s">
        <v>15</v>
      </c>
      <c r="M225">
        <v>0</v>
      </c>
      <c r="N225">
        <v>3</v>
      </c>
      <c r="O225" t="s">
        <v>137</v>
      </c>
      <c r="P225" t="s">
        <v>15</v>
      </c>
      <c r="Q225" s="1" t="s">
        <v>68</v>
      </c>
      <c r="R225" t="s">
        <v>68</v>
      </c>
      <c r="S225" t="e">
        <f>IF(T225="","",INDEX('Backing 4'!U:U,MATCH(T225,'Backing 4'!T:T,0)))</f>
        <v>#N/A</v>
      </c>
      <c r="T225" t="str">
        <f t="shared" si="9"/>
        <v xml:space="preserve"> Senior Manager &amp; Internal Services</v>
      </c>
      <c r="U225" t="e">
        <f>IF(V225="","",INDEX('Backing 4'!Z:Z,MATCH(V225,'Backing 4'!Y:Y,0)))</f>
        <v>#N/A</v>
      </c>
      <c r="V225" t="str">
        <f t="shared" si="10"/>
        <v xml:space="preserve"> Senior Manager</v>
      </c>
      <c r="W225">
        <v>2</v>
      </c>
      <c r="X225" t="str">
        <f>IF(E225="Y","",IF(Y225="Y",INDEX('Backing 2'!B:B,MATCH(D225,'Backing 2'!C:C,0)),D225))</f>
        <v xml:space="preserve"> Senior Manager</v>
      </c>
      <c r="Y225" t="s">
        <v>81</v>
      </c>
      <c r="Z225">
        <v>3</v>
      </c>
      <c r="AA225" t="s">
        <v>71</v>
      </c>
      <c r="AB225">
        <v>46</v>
      </c>
      <c r="AC225" t="s">
        <v>30</v>
      </c>
      <c r="AD225" t="s">
        <v>74</v>
      </c>
      <c r="AE225" t="s">
        <v>74</v>
      </c>
      <c r="AF225" s="3">
        <v>40634</v>
      </c>
      <c r="AG225">
        <v>9</v>
      </c>
      <c r="AH225">
        <f t="shared" ca="1" si="11"/>
        <v>0.33453121701048794</v>
      </c>
    </row>
    <row r="226" spans="1:34">
      <c r="A226">
        <v>225</v>
      </c>
      <c r="B226" t="s">
        <v>8</v>
      </c>
      <c r="C226">
        <v>5</v>
      </c>
      <c r="D226" t="s">
        <v>138</v>
      </c>
      <c r="E226" t="s">
        <v>81</v>
      </c>
      <c r="F226">
        <v>2</v>
      </c>
      <c r="G226" t="s">
        <v>82</v>
      </c>
      <c r="H226" t="s">
        <v>80</v>
      </c>
      <c r="I226" s="2">
        <v>0.5</v>
      </c>
      <c r="J226" t="s">
        <v>82</v>
      </c>
      <c r="K226" t="s">
        <v>79</v>
      </c>
      <c r="L226" t="s">
        <v>16</v>
      </c>
      <c r="M226">
        <v>0</v>
      </c>
      <c r="N226">
        <v>5</v>
      </c>
      <c r="O226" t="s">
        <v>138</v>
      </c>
      <c r="P226" t="s">
        <v>16</v>
      </c>
      <c r="Q226" s="1" t="s">
        <v>68</v>
      </c>
      <c r="R226" t="s">
        <v>68</v>
      </c>
      <c r="S226" t="e">
        <f>IF(T226="","",INDEX('Backing 4'!U:U,MATCH(T226,'Backing 4'!T:T,0)))</f>
        <v>#N/A</v>
      </c>
      <c r="T226" t="str">
        <f t="shared" si="9"/>
        <v xml:space="preserve"> Senior Officer &amp; Sales &amp; Marketing</v>
      </c>
      <c r="U226" t="e">
        <f>IF(V226="","",INDEX('Backing 4'!Z:Z,MATCH(V226,'Backing 4'!Y:Y,0)))</f>
        <v>#N/A</v>
      </c>
      <c r="V226" t="str">
        <f t="shared" si="10"/>
        <v xml:space="preserve"> Senior Officer</v>
      </c>
      <c r="W226">
        <v>1</v>
      </c>
      <c r="X226" t="e">
        <f>IF(E226="Y","",IF(Y226="Y",INDEX('Backing 2'!B:B,MATCH(D226,'Backing 2'!C:C,0)),D226))</f>
        <v>#N/A</v>
      </c>
      <c r="Y226" t="s">
        <v>79</v>
      </c>
      <c r="Z226">
        <v>1</v>
      </c>
      <c r="AA226" t="s">
        <v>69</v>
      </c>
      <c r="AB226">
        <v>25</v>
      </c>
      <c r="AC226" t="s">
        <v>23</v>
      </c>
      <c r="AD226" t="s">
        <v>74</v>
      </c>
      <c r="AE226" t="s">
        <v>74</v>
      </c>
      <c r="AF226" s="3">
        <v>41730</v>
      </c>
      <c r="AG226">
        <v>6</v>
      </c>
      <c r="AH226">
        <f t="shared" ca="1" si="11"/>
        <v>0.83119312191839523</v>
      </c>
    </row>
    <row r="227" spans="1:34">
      <c r="A227">
        <v>226</v>
      </c>
      <c r="B227" t="s">
        <v>8</v>
      </c>
      <c r="C227">
        <v>6</v>
      </c>
      <c r="D227" t="s">
        <v>134</v>
      </c>
      <c r="E227" t="s">
        <v>81</v>
      </c>
      <c r="F227">
        <v>2</v>
      </c>
      <c r="G227" t="s">
        <v>82</v>
      </c>
      <c r="H227" t="s">
        <v>80</v>
      </c>
      <c r="I227" s="2">
        <v>0.5</v>
      </c>
      <c r="J227" t="s">
        <v>82</v>
      </c>
      <c r="K227" t="s">
        <v>79</v>
      </c>
      <c r="L227" t="s">
        <v>16</v>
      </c>
      <c r="M227">
        <v>0</v>
      </c>
      <c r="N227">
        <v>6</v>
      </c>
      <c r="O227" t="s">
        <v>134</v>
      </c>
      <c r="P227" t="s">
        <v>16</v>
      </c>
      <c r="Q227" s="1" t="s">
        <v>68</v>
      </c>
      <c r="R227" t="s">
        <v>68</v>
      </c>
      <c r="S227" t="e">
        <f>IF(T227="","",INDEX('Backing 4'!U:U,MATCH(T227,'Backing 4'!T:T,0)))</f>
        <v>#N/A</v>
      </c>
      <c r="T227" t="str">
        <f t="shared" si="9"/>
        <v xml:space="preserve"> Junior Officer &amp; Sales &amp; Marketing</v>
      </c>
      <c r="U227" t="e">
        <f>IF(V227="","",INDEX('Backing 4'!Z:Z,MATCH(V227,'Backing 4'!Y:Y,0)))</f>
        <v>#N/A</v>
      </c>
      <c r="V227" t="str">
        <f t="shared" si="10"/>
        <v xml:space="preserve"> Junior Officer</v>
      </c>
      <c r="W227">
        <v>3</v>
      </c>
      <c r="X227" t="str">
        <f>IF(E227="Y","",IF(Y227="Y",INDEX('Backing 2'!B:B,MATCH(D227,'Backing 2'!C:C,0)),D227))</f>
        <v xml:space="preserve"> Junior Officer</v>
      </c>
      <c r="Y227" t="s">
        <v>81</v>
      </c>
      <c r="Z227">
        <v>2</v>
      </c>
      <c r="AA227" t="s">
        <v>69</v>
      </c>
      <c r="AB227">
        <v>21</v>
      </c>
      <c r="AC227" t="s">
        <v>19</v>
      </c>
      <c r="AD227" t="s">
        <v>19</v>
      </c>
      <c r="AE227" t="s">
        <v>19</v>
      </c>
      <c r="AF227" s="3">
        <v>42826</v>
      </c>
      <c r="AG227">
        <v>3</v>
      </c>
      <c r="AH227">
        <f t="shared" ca="1" si="11"/>
        <v>0.2547532695609146</v>
      </c>
    </row>
    <row r="228" spans="1:34">
      <c r="A228">
        <v>227</v>
      </c>
      <c r="B228" t="s">
        <v>8</v>
      </c>
      <c r="C228">
        <v>4</v>
      </c>
      <c r="D228" s="4" t="s">
        <v>135</v>
      </c>
      <c r="E228" t="s">
        <v>81</v>
      </c>
      <c r="F228">
        <v>3</v>
      </c>
      <c r="G228" t="s">
        <v>82</v>
      </c>
      <c r="H228" t="s">
        <v>82</v>
      </c>
      <c r="I228" s="2">
        <v>0.5</v>
      </c>
      <c r="J228" t="s">
        <v>80</v>
      </c>
      <c r="K228" t="s">
        <v>79</v>
      </c>
      <c r="L228" t="s">
        <v>16</v>
      </c>
      <c r="M228" t="s">
        <v>83</v>
      </c>
      <c r="N228">
        <v>0</v>
      </c>
      <c r="O228" t="s">
        <v>142</v>
      </c>
      <c r="P228" t="s">
        <v>16</v>
      </c>
      <c r="Q228" s="1" t="s">
        <v>68</v>
      </c>
      <c r="R228" t="s">
        <v>68</v>
      </c>
      <c r="S228" t="e">
        <f>IF(T228="","",INDEX('Backing 4'!U:U,MATCH(T228,'Backing 4'!T:T,0)))</f>
        <v>#N/A</v>
      </c>
      <c r="T228" t="str">
        <f t="shared" si="9"/>
        <v xml:space="preserve"> Manager &amp; Sales &amp; Marketing</v>
      </c>
      <c r="U228" t="e">
        <f>IF(V228="","",INDEX('Backing 4'!Z:Z,MATCH(V228,'Backing 4'!Y:Y,0)))</f>
        <v>#N/A</v>
      </c>
      <c r="V228" t="str">
        <f t="shared" si="10"/>
        <v xml:space="preserve"> Manager</v>
      </c>
      <c r="W228">
        <v>3</v>
      </c>
      <c r="X228" t="str">
        <f>IF(E228="Y","",IF(Y228="Y",INDEX('Backing 2'!B:B,MATCH(D228,'Backing 2'!C:C,0)),D228))</f>
        <v xml:space="preserve"> Manager</v>
      </c>
      <c r="Y228" t="s">
        <v>81</v>
      </c>
      <c r="Z228">
        <v>2</v>
      </c>
      <c r="AA228" t="s">
        <v>71</v>
      </c>
      <c r="AB228">
        <v>43</v>
      </c>
      <c r="AC228" t="s">
        <v>19</v>
      </c>
      <c r="AD228" t="s">
        <v>19</v>
      </c>
      <c r="AE228" t="s">
        <v>19</v>
      </c>
      <c r="AF228" s="3">
        <v>40634</v>
      </c>
      <c r="AG228">
        <v>9</v>
      </c>
      <c r="AH228">
        <f t="shared" ca="1" si="11"/>
        <v>0.26052302441141939</v>
      </c>
    </row>
    <row r="229" spans="1:34">
      <c r="A229">
        <v>228</v>
      </c>
      <c r="B229" t="s">
        <v>8</v>
      </c>
      <c r="C229">
        <v>5</v>
      </c>
      <c r="D229" t="s">
        <v>138</v>
      </c>
      <c r="E229" t="s">
        <v>81</v>
      </c>
      <c r="F229">
        <v>2</v>
      </c>
      <c r="G229" t="s">
        <v>80</v>
      </c>
      <c r="H229" t="s">
        <v>80</v>
      </c>
      <c r="I229" s="2">
        <v>0.5</v>
      </c>
      <c r="J229" t="s">
        <v>82</v>
      </c>
      <c r="K229" t="s">
        <v>79</v>
      </c>
      <c r="L229" t="s">
        <v>15</v>
      </c>
      <c r="M229">
        <v>0</v>
      </c>
      <c r="N229">
        <v>4</v>
      </c>
      <c r="O229" t="s">
        <v>135</v>
      </c>
      <c r="P229" t="s">
        <v>15</v>
      </c>
      <c r="Q229" s="1" t="s">
        <v>68</v>
      </c>
      <c r="R229" t="s">
        <v>68</v>
      </c>
      <c r="S229" t="e">
        <f>IF(T229="","",INDEX('Backing 4'!U:U,MATCH(T229,'Backing 4'!T:T,0)))</f>
        <v>#N/A</v>
      </c>
      <c r="T229" t="str">
        <f t="shared" si="9"/>
        <v xml:space="preserve"> Senior Officer &amp; Internal Services</v>
      </c>
      <c r="U229" t="e">
        <f>IF(V229="","",INDEX('Backing 4'!Z:Z,MATCH(V229,'Backing 4'!Y:Y,0)))</f>
        <v>#N/A</v>
      </c>
      <c r="V229" t="str">
        <f t="shared" si="10"/>
        <v xml:space="preserve"> Senior Officer</v>
      </c>
      <c r="W229">
        <v>2</v>
      </c>
      <c r="X229" t="str">
        <f>IF(E229="Y","",IF(Y229="Y",INDEX('Backing 2'!B:B,MATCH(D229,'Backing 2'!C:C,0)),D229))</f>
        <v xml:space="preserve"> Senior Officer</v>
      </c>
      <c r="Y229" t="s">
        <v>81</v>
      </c>
      <c r="Z229">
        <v>3</v>
      </c>
      <c r="AA229" t="s">
        <v>70</v>
      </c>
      <c r="AB229">
        <v>31</v>
      </c>
      <c r="AC229" t="s">
        <v>19</v>
      </c>
      <c r="AD229" t="s">
        <v>19</v>
      </c>
      <c r="AE229" t="s">
        <v>19</v>
      </c>
      <c r="AF229" s="3">
        <v>42461</v>
      </c>
      <c r="AG229">
        <v>4</v>
      </c>
      <c r="AH229">
        <f t="shared" ca="1" si="11"/>
        <v>0.94675227548304852</v>
      </c>
    </row>
    <row r="230" spans="1:34">
      <c r="A230">
        <v>229</v>
      </c>
      <c r="B230" t="s">
        <v>8</v>
      </c>
      <c r="C230">
        <v>3</v>
      </c>
      <c r="D230" t="s">
        <v>137</v>
      </c>
      <c r="E230" t="s">
        <v>81</v>
      </c>
      <c r="F230">
        <v>2</v>
      </c>
      <c r="G230" t="s">
        <v>82</v>
      </c>
      <c r="H230" t="s">
        <v>80</v>
      </c>
      <c r="I230" s="2">
        <v>0.5</v>
      </c>
      <c r="J230" t="s">
        <v>82</v>
      </c>
      <c r="K230" t="s">
        <v>79</v>
      </c>
      <c r="L230" t="s">
        <v>15</v>
      </c>
      <c r="M230">
        <v>0</v>
      </c>
      <c r="N230">
        <v>3</v>
      </c>
      <c r="O230" t="s">
        <v>137</v>
      </c>
      <c r="P230" t="s">
        <v>15</v>
      </c>
      <c r="Q230" s="1" t="s">
        <v>68</v>
      </c>
      <c r="R230" t="s">
        <v>68</v>
      </c>
      <c r="S230" t="e">
        <f>IF(T230="","",INDEX('Backing 4'!U:U,MATCH(T230,'Backing 4'!T:T,0)))</f>
        <v>#N/A</v>
      </c>
      <c r="T230" t="str">
        <f t="shared" si="9"/>
        <v xml:space="preserve"> Senior Manager &amp; Internal Services</v>
      </c>
      <c r="U230" t="e">
        <f>IF(V230="","",INDEX('Backing 4'!Z:Z,MATCH(V230,'Backing 4'!Y:Y,0)))</f>
        <v>#N/A</v>
      </c>
      <c r="V230" t="str">
        <f t="shared" si="10"/>
        <v xml:space="preserve"> Senior Manager</v>
      </c>
      <c r="W230">
        <v>3</v>
      </c>
      <c r="X230" t="str">
        <f>IF(E230="Y","",IF(Y230="Y",INDEX('Backing 2'!B:B,MATCH(D230,'Backing 2'!C:C,0)),D230))</f>
        <v xml:space="preserve"> Senior Manager</v>
      </c>
      <c r="Y230" t="s">
        <v>81</v>
      </c>
      <c r="Z230">
        <v>2</v>
      </c>
      <c r="AA230" t="s">
        <v>70</v>
      </c>
      <c r="AB230">
        <v>35</v>
      </c>
      <c r="AC230" t="s">
        <v>19</v>
      </c>
      <c r="AD230" t="s">
        <v>19</v>
      </c>
      <c r="AE230" t="s">
        <v>19</v>
      </c>
      <c r="AF230" s="3">
        <v>42461</v>
      </c>
      <c r="AG230">
        <v>4</v>
      </c>
      <c r="AH230">
        <f t="shared" ca="1" si="11"/>
        <v>0.52245880512491194</v>
      </c>
    </row>
    <row r="231" spans="1:34">
      <c r="A231">
        <v>230</v>
      </c>
      <c r="B231" t="s">
        <v>7</v>
      </c>
      <c r="C231">
        <v>6</v>
      </c>
      <c r="D231" s="4" t="s">
        <v>134</v>
      </c>
      <c r="E231" t="s">
        <v>81</v>
      </c>
      <c r="F231">
        <v>2</v>
      </c>
      <c r="G231" t="s">
        <v>82</v>
      </c>
      <c r="H231" t="s">
        <v>82</v>
      </c>
      <c r="I231" s="2">
        <v>0.5</v>
      </c>
      <c r="J231" t="s">
        <v>80</v>
      </c>
      <c r="K231" t="s">
        <v>79</v>
      </c>
      <c r="L231" t="s">
        <v>14</v>
      </c>
      <c r="M231" t="s">
        <v>83</v>
      </c>
      <c r="N231">
        <v>0</v>
      </c>
      <c r="O231" t="s">
        <v>142</v>
      </c>
      <c r="P231" t="s">
        <v>14</v>
      </c>
      <c r="Q231" s="1" t="s">
        <v>68</v>
      </c>
      <c r="R231" t="s">
        <v>68</v>
      </c>
      <c r="S231" t="e">
        <f>IF(T231="","",INDEX('Backing 4'!U:U,MATCH(T231,'Backing 4'!T:T,0)))</f>
        <v>#N/A</v>
      </c>
      <c r="T231" t="str">
        <f t="shared" si="9"/>
        <v xml:space="preserve"> Junior Officer &amp; Operations</v>
      </c>
      <c r="U231" t="e">
        <f>IF(V231="","",INDEX('Backing 4'!Z:Z,MATCH(V231,'Backing 4'!Y:Y,0)))</f>
        <v>#N/A</v>
      </c>
      <c r="V231" t="str">
        <f t="shared" si="10"/>
        <v xml:space="preserve"> Junior Officer</v>
      </c>
      <c r="W231">
        <v>2</v>
      </c>
      <c r="X231" t="str">
        <f>IF(E231="Y","",IF(Y231="Y",INDEX('Backing 2'!B:B,MATCH(D231,'Backing 2'!C:C,0)),D231))</f>
        <v xml:space="preserve"> Junior Officer</v>
      </c>
      <c r="Y231" t="s">
        <v>81</v>
      </c>
      <c r="Z231">
        <v>3</v>
      </c>
      <c r="AA231" t="s">
        <v>71</v>
      </c>
      <c r="AB231">
        <v>42</v>
      </c>
      <c r="AC231" t="s">
        <v>19</v>
      </c>
      <c r="AD231" t="s">
        <v>19</v>
      </c>
      <c r="AE231" t="s">
        <v>19</v>
      </c>
      <c r="AF231" s="3">
        <v>43191</v>
      </c>
      <c r="AG231">
        <v>2</v>
      </c>
      <c r="AH231">
        <f t="shared" ca="1" si="11"/>
        <v>0.79133786655105365</v>
      </c>
    </row>
    <row r="232" spans="1:34">
      <c r="A232">
        <v>231</v>
      </c>
      <c r="B232" t="s">
        <v>8</v>
      </c>
      <c r="C232">
        <v>3</v>
      </c>
      <c r="D232" t="s">
        <v>137</v>
      </c>
      <c r="E232" t="s">
        <v>81</v>
      </c>
      <c r="F232">
        <v>3</v>
      </c>
      <c r="G232" t="s">
        <v>82</v>
      </c>
      <c r="H232" t="s">
        <v>80</v>
      </c>
      <c r="I232" s="2">
        <v>0.5</v>
      </c>
      <c r="J232" t="s">
        <v>82</v>
      </c>
      <c r="K232" t="s">
        <v>79</v>
      </c>
      <c r="L232" t="s">
        <v>12</v>
      </c>
      <c r="M232">
        <v>0</v>
      </c>
      <c r="N232">
        <v>3</v>
      </c>
      <c r="O232" t="s">
        <v>137</v>
      </c>
      <c r="P232" t="s">
        <v>12</v>
      </c>
      <c r="Q232" s="1" t="s">
        <v>68</v>
      </c>
      <c r="R232" t="s">
        <v>68</v>
      </c>
      <c r="S232" t="e">
        <f>IF(T232="","",INDEX('Backing 4'!U:U,MATCH(T232,'Backing 4'!T:T,0)))</f>
        <v>#N/A</v>
      </c>
      <c r="T232" t="str">
        <f t="shared" si="9"/>
        <v xml:space="preserve"> Senior Manager &amp; Finance</v>
      </c>
      <c r="U232" t="e">
        <f>IF(V232="","",INDEX('Backing 4'!Z:Z,MATCH(V232,'Backing 4'!Y:Y,0)))</f>
        <v>#N/A</v>
      </c>
      <c r="V232" t="str">
        <f t="shared" si="10"/>
        <v xml:space="preserve"> Senior Manager</v>
      </c>
      <c r="W232">
        <v>3</v>
      </c>
      <c r="X232" t="str">
        <f>IF(E232="Y","",IF(Y232="Y",INDEX('Backing 2'!B:B,MATCH(D232,'Backing 2'!C:C,0)),D232))</f>
        <v xml:space="preserve"> Senior Manager</v>
      </c>
      <c r="Y232" t="s">
        <v>81</v>
      </c>
      <c r="Z232">
        <v>3</v>
      </c>
      <c r="AA232" t="s">
        <v>70</v>
      </c>
      <c r="AB232">
        <v>39</v>
      </c>
      <c r="AC232" t="s">
        <v>31</v>
      </c>
      <c r="AD232" t="s">
        <v>74</v>
      </c>
      <c r="AE232" t="s">
        <v>74</v>
      </c>
      <c r="AF232" s="3">
        <v>42461</v>
      </c>
      <c r="AG232">
        <v>4</v>
      </c>
      <c r="AH232">
        <f t="shared" ca="1" si="11"/>
        <v>3.9859622486005719E-2</v>
      </c>
    </row>
    <row r="233" spans="1:34">
      <c r="A233">
        <v>232</v>
      </c>
      <c r="B233" t="s">
        <v>7</v>
      </c>
      <c r="C233">
        <v>6</v>
      </c>
      <c r="D233" t="s">
        <v>134</v>
      </c>
      <c r="E233" t="s">
        <v>81</v>
      </c>
      <c r="F233">
        <v>2</v>
      </c>
      <c r="G233" t="s">
        <v>80</v>
      </c>
      <c r="H233" t="s">
        <v>80</v>
      </c>
      <c r="I233" s="2">
        <v>0.5</v>
      </c>
      <c r="J233" t="s">
        <v>82</v>
      </c>
      <c r="K233" t="s">
        <v>79</v>
      </c>
      <c r="L233" t="s">
        <v>14</v>
      </c>
      <c r="M233">
        <v>0</v>
      </c>
      <c r="N233">
        <v>5</v>
      </c>
      <c r="O233" t="s">
        <v>138</v>
      </c>
      <c r="P233" t="s">
        <v>14</v>
      </c>
      <c r="Q233" s="1" t="s">
        <v>68</v>
      </c>
      <c r="R233" t="s">
        <v>68</v>
      </c>
      <c r="S233" t="e">
        <f>IF(T233="","",INDEX('Backing 4'!U:U,MATCH(T233,'Backing 4'!T:T,0)))</f>
        <v>#N/A</v>
      </c>
      <c r="T233" t="str">
        <f t="shared" si="9"/>
        <v xml:space="preserve"> Junior Officer &amp; Operations</v>
      </c>
      <c r="U233" t="e">
        <f>IF(V233="","",INDEX('Backing 4'!Z:Z,MATCH(V233,'Backing 4'!Y:Y,0)))</f>
        <v>#N/A</v>
      </c>
      <c r="V233" t="str">
        <f t="shared" si="10"/>
        <v xml:space="preserve"> Junior Officer</v>
      </c>
      <c r="W233">
        <v>3</v>
      </c>
      <c r="X233" t="str">
        <f>IF(E233="Y","",IF(Y233="Y",INDEX('Backing 2'!B:B,MATCH(D233,'Backing 2'!C:C,0)),D233))</f>
        <v xml:space="preserve"> Junior Officer</v>
      </c>
      <c r="Y233" t="s">
        <v>81</v>
      </c>
      <c r="Z233">
        <v>3</v>
      </c>
      <c r="AA233" t="s">
        <v>70</v>
      </c>
      <c r="AB233">
        <v>34</v>
      </c>
      <c r="AC233" t="s">
        <v>21</v>
      </c>
      <c r="AD233" t="s">
        <v>74</v>
      </c>
      <c r="AE233" t="s">
        <v>74</v>
      </c>
      <c r="AF233" s="3">
        <v>42826</v>
      </c>
      <c r="AG233">
        <v>3</v>
      </c>
      <c r="AH233">
        <f t="shared" ca="1" si="11"/>
        <v>0.89408132190154455</v>
      </c>
    </row>
    <row r="234" spans="1:34">
      <c r="A234">
        <v>233</v>
      </c>
      <c r="B234" t="s">
        <v>7</v>
      </c>
      <c r="C234">
        <v>6</v>
      </c>
      <c r="D234" t="s">
        <v>134</v>
      </c>
      <c r="E234" t="s">
        <v>79</v>
      </c>
      <c r="F234">
        <v>0</v>
      </c>
      <c r="G234" t="s">
        <v>82</v>
      </c>
      <c r="H234" t="s">
        <v>82</v>
      </c>
      <c r="I234" s="2">
        <v>0.5</v>
      </c>
      <c r="J234" t="s">
        <v>82</v>
      </c>
      <c r="K234" t="s">
        <v>81</v>
      </c>
      <c r="L234" t="s">
        <v>17</v>
      </c>
      <c r="M234">
        <v>0</v>
      </c>
      <c r="N234">
        <v>6</v>
      </c>
      <c r="O234" t="s">
        <v>134</v>
      </c>
      <c r="P234" t="s">
        <v>17</v>
      </c>
      <c r="Q234" s="1">
        <v>0.8</v>
      </c>
      <c r="R234" t="s">
        <v>67</v>
      </c>
      <c r="S234" t="e">
        <f>IF(T234="","",INDEX('Backing 4'!U:U,MATCH(T234,'Backing 4'!T:T,0)))</f>
        <v>#N/A</v>
      </c>
      <c r="T234" t="str">
        <f t="shared" si="9"/>
        <v xml:space="preserve"> Junior Officer &amp; Strategy</v>
      </c>
      <c r="U234" t="e">
        <f>IF(V234="","",INDEX('Backing 4'!Z:Z,MATCH(V234,'Backing 4'!Y:Y,0)))</f>
        <v>#N/A</v>
      </c>
      <c r="V234" t="str">
        <f t="shared" si="10"/>
        <v xml:space="preserve"> Junior Officer</v>
      </c>
      <c r="W234">
        <v>0</v>
      </c>
      <c r="X234" t="str">
        <f>IF(E234="Y","",IF(Y234="Y",INDEX('Backing 2'!B:B,MATCH(D234,'Backing 2'!C:C,0)),D234))</f>
        <v/>
      </c>
      <c r="Y234" t="s">
        <v>81</v>
      </c>
      <c r="Z234">
        <v>0</v>
      </c>
      <c r="AA234" t="s">
        <v>69</v>
      </c>
      <c r="AB234">
        <v>25</v>
      </c>
      <c r="AC234" t="s">
        <v>19</v>
      </c>
      <c r="AD234" t="s">
        <v>19</v>
      </c>
      <c r="AE234" t="s">
        <v>19</v>
      </c>
      <c r="AF234" s="3">
        <v>43922</v>
      </c>
      <c r="AG234">
        <v>0</v>
      </c>
      <c r="AH234">
        <f t="shared" ca="1" si="11"/>
        <v>0.84622292109375818</v>
      </c>
    </row>
    <row r="235" spans="1:34">
      <c r="A235">
        <v>234</v>
      </c>
      <c r="B235" t="s">
        <v>7</v>
      </c>
      <c r="C235">
        <v>6</v>
      </c>
      <c r="D235" t="s">
        <v>134</v>
      </c>
      <c r="E235" t="s">
        <v>81</v>
      </c>
      <c r="F235">
        <v>2</v>
      </c>
      <c r="G235" t="s">
        <v>80</v>
      </c>
      <c r="H235" t="s">
        <v>80</v>
      </c>
      <c r="I235" s="2">
        <v>0.5</v>
      </c>
      <c r="J235" t="s">
        <v>82</v>
      </c>
      <c r="K235" t="s">
        <v>79</v>
      </c>
      <c r="L235" t="s">
        <v>14</v>
      </c>
      <c r="M235">
        <v>0</v>
      </c>
      <c r="N235">
        <v>5</v>
      </c>
      <c r="O235" t="s">
        <v>138</v>
      </c>
      <c r="P235" t="s">
        <v>14</v>
      </c>
      <c r="Q235" s="1" t="s">
        <v>68</v>
      </c>
      <c r="R235" t="s">
        <v>68</v>
      </c>
      <c r="S235" t="e">
        <f>IF(T235="","",INDEX('Backing 4'!U:U,MATCH(T235,'Backing 4'!T:T,0)))</f>
        <v>#N/A</v>
      </c>
      <c r="T235" t="str">
        <f t="shared" si="9"/>
        <v xml:space="preserve"> Junior Officer &amp; Operations</v>
      </c>
      <c r="U235" t="e">
        <f>IF(V235="","",INDEX('Backing 4'!Z:Z,MATCH(V235,'Backing 4'!Y:Y,0)))</f>
        <v>#N/A</v>
      </c>
      <c r="V235" t="str">
        <f t="shared" si="10"/>
        <v xml:space="preserve"> Junior Officer</v>
      </c>
      <c r="W235">
        <v>2</v>
      </c>
      <c r="X235" t="str">
        <f>IF(E235="Y","",IF(Y235="Y",INDEX('Backing 2'!B:B,MATCH(D235,'Backing 2'!C:C,0)),D235))</f>
        <v xml:space="preserve"> Junior Officer</v>
      </c>
      <c r="Y235" t="s">
        <v>81</v>
      </c>
      <c r="Z235">
        <v>2</v>
      </c>
      <c r="AA235" t="s">
        <v>69</v>
      </c>
      <c r="AB235">
        <v>29</v>
      </c>
      <c r="AC235" t="s">
        <v>30</v>
      </c>
      <c r="AD235" t="s">
        <v>74</v>
      </c>
      <c r="AE235" t="s">
        <v>74</v>
      </c>
      <c r="AF235" s="3">
        <v>43191</v>
      </c>
      <c r="AG235">
        <v>2</v>
      </c>
      <c r="AH235">
        <f t="shared" ca="1" si="11"/>
        <v>0.19870019136486983</v>
      </c>
    </row>
    <row r="236" spans="1:34">
      <c r="A236">
        <v>235</v>
      </c>
      <c r="B236" t="s">
        <v>8</v>
      </c>
      <c r="C236">
        <v>4</v>
      </c>
      <c r="D236" t="s">
        <v>135</v>
      </c>
      <c r="E236" t="s">
        <v>81</v>
      </c>
      <c r="F236">
        <v>3</v>
      </c>
      <c r="G236" t="s">
        <v>82</v>
      </c>
      <c r="H236" t="s">
        <v>80</v>
      </c>
      <c r="I236" s="2">
        <v>0.5</v>
      </c>
      <c r="J236" t="s">
        <v>82</v>
      </c>
      <c r="K236" t="s">
        <v>79</v>
      </c>
      <c r="L236" t="s">
        <v>15</v>
      </c>
      <c r="M236">
        <v>0</v>
      </c>
      <c r="N236">
        <v>4</v>
      </c>
      <c r="O236" t="s">
        <v>135</v>
      </c>
      <c r="P236" t="s">
        <v>15</v>
      </c>
      <c r="Q236" s="1" t="s">
        <v>68</v>
      </c>
      <c r="R236" t="s">
        <v>68</v>
      </c>
      <c r="S236" t="e">
        <f>IF(T236="","",INDEX('Backing 4'!U:U,MATCH(T236,'Backing 4'!T:T,0)))</f>
        <v>#N/A</v>
      </c>
      <c r="T236" t="str">
        <f t="shared" si="9"/>
        <v xml:space="preserve"> Manager &amp; Internal Services</v>
      </c>
      <c r="U236" t="e">
        <f>IF(V236="","",INDEX('Backing 4'!Z:Z,MATCH(V236,'Backing 4'!Y:Y,0)))</f>
        <v>#N/A</v>
      </c>
      <c r="V236" t="str">
        <f t="shared" si="10"/>
        <v xml:space="preserve"> Manager</v>
      </c>
      <c r="W236">
        <v>2</v>
      </c>
      <c r="X236" t="str">
        <f>IF(E236="Y","",IF(Y236="Y",INDEX('Backing 2'!B:B,MATCH(D236,'Backing 2'!C:C,0)),D236))</f>
        <v xml:space="preserve"> Manager</v>
      </c>
      <c r="Y236" t="s">
        <v>81</v>
      </c>
      <c r="Z236">
        <v>3</v>
      </c>
      <c r="AA236" t="s">
        <v>70</v>
      </c>
      <c r="AB236">
        <v>32</v>
      </c>
      <c r="AC236" t="s">
        <v>19</v>
      </c>
      <c r="AD236" t="s">
        <v>19</v>
      </c>
      <c r="AE236" t="s">
        <v>19</v>
      </c>
      <c r="AF236" s="3">
        <v>41730</v>
      </c>
      <c r="AG236">
        <v>6</v>
      </c>
      <c r="AH236">
        <f t="shared" ca="1" si="11"/>
        <v>0.48082339355632231</v>
      </c>
    </row>
    <row r="237" spans="1:34">
      <c r="A237">
        <v>236</v>
      </c>
      <c r="B237" t="s">
        <v>7</v>
      </c>
      <c r="C237">
        <v>6</v>
      </c>
      <c r="D237" t="s">
        <v>134</v>
      </c>
      <c r="E237" t="s">
        <v>81</v>
      </c>
      <c r="F237">
        <v>3</v>
      </c>
      <c r="G237" t="s">
        <v>82</v>
      </c>
      <c r="H237" t="s">
        <v>80</v>
      </c>
      <c r="I237" s="2">
        <v>0.5</v>
      </c>
      <c r="J237" t="s">
        <v>82</v>
      </c>
      <c r="K237" t="s">
        <v>79</v>
      </c>
      <c r="L237" t="s">
        <v>16</v>
      </c>
      <c r="M237">
        <v>0</v>
      </c>
      <c r="N237">
        <v>6</v>
      </c>
      <c r="O237" t="s">
        <v>134</v>
      </c>
      <c r="P237" t="s">
        <v>16</v>
      </c>
      <c r="Q237" s="1" t="s">
        <v>68</v>
      </c>
      <c r="R237" t="s">
        <v>68</v>
      </c>
      <c r="S237" t="e">
        <f>IF(T237="","",INDEX('Backing 4'!U:U,MATCH(T237,'Backing 4'!T:T,0)))</f>
        <v>#N/A</v>
      </c>
      <c r="T237" t="str">
        <f t="shared" si="9"/>
        <v xml:space="preserve"> Junior Officer &amp; Sales &amp; Marketing</v>
      </c>
      <c r="U237" t="e">
        <f>IF(V237="","",INDEX('Backing 4'!Z:Z,MATCH(V237,'Backing 4'!Y:Y,0)))</f>
        <v>#N/A</v>
      </c>
      <c r="V237" t="str">
        <f t="shared" si="10"/>
        <v xml:space="preserve"> Junior Officer</v>
      </c>
      <c r="W237">
        <v>1</v>
      </c>
      <c r="X237" t="str">
        <f>IF(E237="Y","",IF(Y237="Y",INDEX('Backing 2'!B:B,MATCH(D237,'Backing 2'!C:C,0)),D237))</f>
        <v xml:space="preserve"> Junior Officer</v>
      </c>
      <c r="Y237" t="s">
        <v>81</v>
      </c>
      <c r="Z237">
        <v>0</v>
      </c>
      <c r="AA237" t="s">
        <v>69</v>
      </c>
      <c r="AB237">
        <v>22</v>
      </c>
      <c r="AC237" t="s">
        <v>19</v>
      </c>
      <c r="AD237" t="s">
        <v>19</v>
      </c>
      <c r="AE237" t="s">
        <v>19</v>
      </c>
      <c r="AF237" s="3">
        <v>43556</v>
      </c>
      <c r="AG237">
        <v>1</v>
      </c>
      <c r="AH237">
        <f t="shared" ca="1" si="11"/>
        <v>7.5262504733327518E-2</v>
      </c>
    </row>
    <row r="238" spans="1:34">
      <c r="A238">
        <v>237</v>
      </c>
      <c r="B238" t="s">
        <v>7</v>
      </c>
      <c r="C238">
        <v>6</v>
      </c>
      <c r="D238" t="s">
        <v>134</v>
      </c>
      <c r="E238" t="s">
        <v>81</v>
      </c>
      <c r="F238">
        <v>2</v>
      </c>
      <c r="G238" t="s">
        <v>80</v>
      </c>
      <c r="H238" t="s">
        <v>80</v>
      </c>
      <c r="I238" s="2">
        <v>0.5</v>
      </c>
      <c r="J238" t="s">
        <v>82</v>
      </c>
      <c r="K238" t="s">
        <v>79</v>
      </c>
      <c r="L238" t="s">
        <v>14</v>
      </c>
      <c r="M238">
        <v>0</v>
      </c>
      <c r="N238">
        <v>5</v>
      </c>
      <c r="O238" t="s">
        <v>138</v>
      </c>
      <c r="P238" t="s">
        <v>14</v>
      </c>
      <c r="Q238" s="1" t="s">
        <v>68</v>
      </c>
      <c r="R238" t="s">
        <v>68</v>
      </c>
      <c r="S238" t="e">
        <f>IF(T238="","",INDEX('Backing 4'!U:U,MATCH(T238,'Backing 4'!T:T,0)))</f>
        <v>#N/A</v>
      </c>
      <c r="T238" t="str">
        <f t="shared" si="9"/>
        <v xml:space="preserve"> Junior Officer &amp; Operations</v>
      </c>
      <c r="U238" t="e">
        <f>IF(V238="","",INDEX('Backing 4'!Z:Z,MATCH(V238,'Backing 4'!Y:Y,0)))</f>
        <v>#N/A</v>
      </c>
      <c r="V238" t="str">
        <f t="shared" si="10"/>
        <v xml:space="preserve"> Junior Officer</v>
      </c>
      <c r="W238">
        <v>4</v>
      </c>
      <c r="X238" t="str">
        <f>IF(E238="Y","",IF(Y238="Y",INDEX('Backing 2'!B:B,MATCH(D238,'Backing 2'!C:C,0)),D238))</f>
        <v xml:space="preserve"> Junior Officer</v>
      </c>
      <c r="Y238" t="s">
        <v>81</v>
      </c>
      <c r="Z238">
        <v>3</v>
      </c>
      <c r="AA238" t="s">
        <v>70</v>
      </c>
      <c r="AB238">
        <v>31</v>
      </c>
      <c r="AC238" t="s">
        <v>19</v>
      </c>
      <c r="AD238" t="s">
        <v>19</v>
      </c>
      <c r="AE238" t="s">
        <v>19</v>
      </c>
      <c r="AF238" s="3">
        <v>42461</v>
      </c>
      <c r="AG238">
        <v>4</v>
      </c>
      <c r="AH238">
        <f t="shared" ca="1" si="11"/>
        <v>0.14046429814198813</v>
      </c>
    </row>
    <row r="239" spans="1:34">
      <c r="A239">
        <v>238</v>
      </c>
      <c r="B239" t="s">
        <v>7</v>
      </c>
      <c r="C239">
        <v>6</v>
      </c>
      <c r="D239" t="s">
        <v>134</v>
      </c>
      <c r="E239" t="s">
        <v>79</v>
      </c>
      <c r="F239">
        <v>0</v>
      </c>
      <c r="G239" t="s">
        <v>82</v>
      </c>
      <c r="H239" t="s">
        <v>82</v>
      </c>
      <c r="I239" s="2">
        <v>0.5</v>
      </c>
      <c r="J239" t="s">
        <v>82</v>
      </c>
      <c r="K239" t="s">
        <v>81</v>
      </c>
      <c r="L239" t="s">
        <v>14</v>
      </c>
      <c r="M239">
        <v>0</v>
      </c>
      <c r="N239">
        <v>6</v>
      </c>
      <c r="O239" t="s">
        <v>134</v>
      </c>
      <c r="P239" t="s">
        <v>14</v>
      </c>
      <c r="Q239" s="1" t="s">
        <v>68</v>
      </c>
      <c r="R239" t="s">
        <v>68</v>
      </c>
      <c r="S239" t="e">
        <f>IF(T239="","",INDEX('Backing 4'!U:U,MATCH(T239,'Backing 4'!T:T,0)))</f>
        <v>#N/A</v>
      </c>
      <c r="T239" t="str">
        <f t="shared" si="9"/>
        <v xml:space="preserve"> Junior Officer &amp; Operations</v>
      </c>
      <c r="U239" t="e">
        <f>IF(V239="","",INDEX('Backing 4'!Z:Z,MATCH(V239,'Backing 4'!Y:Y,0)))</f>
        <v>#N/A</v>
      </c>
      <c r="V239" t="str">
        <f t="shared" si="10"/>
        <v xml:space="preserve"> Junior Officer</v>
      </c>
      <c r="W239">
        <v>0</v>
      </c>
      <c r="X239" t="str">
        <f>IF(E239="Y","",IF(Y239="Y",INDEX('Backing 2'!B:B,MATCH(D239,'Backing 2'!C:C,0)),D239))</f>
        <v/>
      </c>
      <c r="Y239" t="s">
        <v>81</v>
      </c>
      <c r="Z239">
        <v>0</v>
      </c>
      <c r="AA239" t="s">
        <v>69</v>
      </c>
      <c r="AB239">
        <v>22</v>
      </c>
      <c r="AC239" t="s">
        <v>31</v>
      </c>
      <c r="AD239" t="s">
        <v>74</v>
      </c>
      <c r="AE239" t="s">
        <v>74</v>
      </c>
      <c r="AF239" s="3">
        <v>43922</v>
      </c>
      <c r="AG239">
        <v>0</v>
      </c>
      <c r="AH239">
        <f t="shared" ca="1" si="11"/>
        <v>0.83400475410902464</v>
      </c>
    </row>
    <row r="240" spans="1:34">
      <c r="A240">
        <v>239</v>
      </c>
      <c r="B240" t="s">
        <v>8</v>
      </c>
      <c r="C240">
        <v>4</v>
      </c>
      <c r="D240" t="s">
        <v>135</v>
      </c>
      <c r="E240" t="s">
        <v>81</v>
      </c>
      <c r="F240">
        <v>2</v>
      </c>
      <c r="G240" t="s">
        <v>82</v>
      </c>
      <c r="H240" t="s">
        <v>80</v>
      </c>
      <c r="I240" s="2">
        <v>0.5</v>
      </c>
      <c r="J240" t="s">
        <v>82</v>
      </c>
      <c r="K240" t="s">
        <v>79</v>
      </c>
      <c r="L240" t="s">
        <v>16</v>
      </c>
      <c r="M240">
        <v>0</v>
      </c>
      <c r="N240">
        <v>4</v>
      </c>
      <c r="O240" t="s">
        <v>135</v>
      </c>
      <c r="P240" t="s">
        <v>16</v>
      </c>
      <c r="Q240" s="1" t="s">
        <v>68</v>
      </c>
      <c r="R240" t="s">
        <v>68</v>
      </c>
      <c r="S240" t="e">
        <f>IF(T240="","",INDEX('Backing 4'!U:U,MATCH(T240,'Backing 4'!T:T,0)))</f>
        <v>#N/A</v>
      </c>
      <c r="T240" t="str">
        <f t="shared" si="9"/>
        <v xml:space="preserve"> Manager &amp; Sales &amp; Marketing</v>
      </c>
      <c r="U240" t="e">
        <f>IF(V240="","",INDEX('Backing 4'!Z:Z,MATCH(V240,'Backing 4'!Y:Y,0)))</f>
        <v>#N/A</v>
      </c>
      <c r="V240" t="str">
        <f t="shared" si="10"/>
        <v xml:space="preserve"> Manager</v>
      </c>
      <c r="W240">
        <v>2</v>
      </c>
      <c r="X240" t="str">
        <f>IF(E240="Y","",IF(Y240="Y",INDEX('Backing 2'!B:B,MATCH(D240,'Backing 2'!C:C,0)),D240))</f>
        <v xml:space="preserve"> Manager</v>
      </c>
      <c r="Y240" t="s">
        <v>81</v>
      </c>
      <c r="Z240">
        <v>2</v>
      </c>
      <c r="AA240" t="s">
        <v>70</v>
      </c>
      <c r="AB240">
        <v>36</v>
      </c>
      <c r="AC240" t="s">
        <v>26</v>
      </c>
      <c r="AD240" t="s">
        <v>74</v>
      </c>
      <c r="AE240" t="s">
        <v>74</v>
      </c>
      <c r="AF240" s="3">
        <v>41730</v>
      </c>
      <c r="AG240">
        <v>6</v>
      </c>
      <c r="AH240">
        <f t="shared" ca="1" si="11"/>
        <v>0.56403532935155465</v>
      </c>
    </row>
    <row r="241" spans="1:34">
      <c r="A241">
        <v>240</v>
      </c>
      <c r="B241" t="s">
        <v>7</v>
      </c>
      <c r="C241">
        <v>6</v>
      </c>
      <c r="D241" t="s">
        <v>134</v>
      </c>
      <c r="E241" t="s">
        <v>81</v>
      </c>
      <c r="F241">
        <v>2</v>
      </c>
      <c r="G241" t="s">
        <v>82</v>
      </c>
      <c r="H241" t="s">
        <v>80</v>
      </c>
      <c r="I241" s="2">
        <v>0.5</v>
      </c>
      <c r="J241" t="s">
        <v>82</v>
      </c>
      <c r="K241" t="s">
        <v>79</v>
      </c>
      <c r="L241" t="s">
        <v>14</v>
      </c>
      <c r="M241">
        <v>0</v>
      </c>
      <c r="N241">
        <v>6</v>
      </c>
      <c r="O241" t="s">
        <v>134</v>
      </c>
      <c r="P241" t="s">
        <v>14</v>
      </c>
      <c r="Q241" s="1" t="s">
        <v>68</v>
      </c>
      <c r="R241" t="s">
        <v>68</v>
      </c>
      <c r="S241" t="e">
        <f>IF(T241="","",INDEX('Backing 4'!U:U,MATCH(T241,'Backing 4'!T:T,0)))</f>
        <v>#N/A</v>
      </c>
      <c r="T241" t="str">
        <f t="shared" si="9"/>
        <v xml:space="preserve"> Junior Officer &amp; Operations</v>
      </c>
      <c r="U241" t="e">
        <f>IF(V241="","",INDEX('Backing 4'!Z:Z,MATCH(V241,'Backing 4'!Y:Y,0)))</f>
        <v>#N/A</v>
      </c>
      <c r="V241" t="str">
        <f t="shared" si="10"/>
        <v xml:space="preserve"> Junior Officer</v>
      </c>
      <c r="W241">
        <v>4</v>
      </c>
      <c r="X241" t="str">
        <f>IF(E241="Y","",IF(Y241="Y",INDEX('Backing 2'!B:B,MATCH(D241,'Backing 2'!C:C,0)),D241))</f>
        <v xml:space="preserve"> Junior Officer</v>
      </c>
      <c r="Y241" t="s">
        <v>81</v>
      </c>
      <c r="Z241">
        <v>3</v>
      </c>
      <c r="AA241" t="s">
        <v>69</v>
      </c>
      <c r="AB241">
        <v>27</v>
      </c>
      <c r="AC241" t="s">
        <v>26</v>
      </c>
      <c r="AD241" t="s">
        <v>74</v>
      </c>
      <c r="AE241" t="s">
        <v>74</v>
      </c>
      <c r="AF241" s="3">
        <v>42461</v>
      </c>
      <c r="AG241">
        <v>4</v>
      </c>
      <c r="AH241">
        <f t="shared" ca="1" si="11"/>
        <v>0.58974901206249297</v>
      </c>
    </row>
    <row r="242" spans="1:34">
      <c r="A242">
        <v>241</v>
      </c>
      <c r="B242" t="s">
        <v>7</v>
      </c>
      <c r="C242">
        <v>4</v>
      </c>
      <c r="D242" t="s">
        <v>135</v>
      </c>
      <c r="E242" t="s">
        <v>81</v>
      </c>
      <c r="F242">
        <v>2</v>
      </c>
      <c r="G242" t="s">
        <v>82</v>
      </c>
      <c r="H242" t="s">
        <v>80</v>
      </c>
      <c r="I242" s="2">
        <v>0.5</v>
      </c>
      <c r="J242" t="s">
        <v>82</v>
      </c>
      <c r="K242" t="s">
        <v>79</v>
      </c>
      <c r="L242" t="s">
        <v>15</v>
      </c>
      <c r="M242">
        <v>0</v>
      </c>
      <c r="N242">
        <v>4</v>
      </c>
      <c r="O242" t="s">
        <v>135</v>
      </c>
      <c r="P242" t="s">
        <v>15</v>
      </c>
      <c r="Q242" s="1" t="s">
        <v>68</v>
      </c>
      <c r="R242" t="s">
        <v>68</v>
      </c>
      <c r="S242" t="e">
        <f>IF(T242="","",INDEX('Backing 4'!U:U,MATCH(T242,'Backing 4'!T:T,0)))</f>
        <v>#N/A</v>
      </c>
      <c r="T242" t="str">
        <f t="shared" si="9"/>
        <v xml:space="preserve"> Manager &amp; Internal Services</v>
      </c>
      <c r="U242" t="e">
        <f>IF(V242="","",INDEX('Backing 4'!Z:Z,MATCH(V242,'Backing 4'!Y:Y,0)))</f>
        <v>#N/A</v>
      </c>
      <c r="V242" t="str">
        <f t="shared" si="10"/>
        <v xml:space="preserve"> Manager</v>
      </c>
      <c r="W242">
        <v>2</v>
      </c>
      <c r="X242" t="str">
        <f>IF(E242="Y","",IF(Y242="Y",INDEX('Backing 2'!B:B,MATCH(D242,'Backing 2'!C:C,0)),D242))</f>
        <v xml:space="preserve"> Manager</v>
      </c>
      <c r="Y242" t="s">
        <v>81</v>
      </c>
      <c r="Z242">
        <v>2</v>
      </c>
      <c r="AA242" t="s">
        <v>70</v>
      </c>
      <c r="AB242">
        <v>38</v>
      </c>
      <c r="AC242" t="s">
        <v>30</v>
      </c>
      <c r="AD242" t="s">
        <v>74</v>
      </c>
      <c r="AE242" t="s">
        <v>74</v>
      </c>
      <c r="AF242" s="3">
        <v>43191</v>
      </c>
      <c r="AG242">
        <v>2</v>
      </c>
      <c r="AH242">
        <f t="shared" ca="1" si="11"/>
        <v>0.23671590712532287</v>
      </c>
    </row>
    <row r="243" spans="1:34">
      <c r="A243">
        <v>242</v>
      </c>
      <c r="B243" t="s">
        <v>8</v>
      </c>
      <c r="C243">
        <v>5</v>
      </c>
      <c r="D243" s="4" t="s">
        <v>138</v>
      </c>
      <c r="E243" t="s">
        <v>81</v>
      </c>
      <c r="F243">
        <v>3</v>
      </c>
      <c r="G243" t="s">
        <v>82</v>
      </c>
      <c r="H243" t="s">
        <v>82</v>
      </c>
      <c r="I243" s="2">
        <v>0.5</v>
      </c>
      <c r="J243" t="s">
        <v>80</v>
      </c>
      <c r="K243" t="s">
        <v>79</v>
      </c>
      <c r="L243" t="s">
        <v>15</v>
      </c>
      <c r="M243" t="s">
        <v>83</v>
      </c>
      <c r="N243">
        <v>0</v>
      </c>
      <c r="O243" t="s">
        <v>142</v>
      </c>
      <c r="P243" t="s">
        <v>15</v>
      </c>
      <c r="Q243" s="1" t="s">
        <v>68</v>
      </c>
      <c r="R243" t="s">
        <v>68</v>
      </c>
      <c r="S243" t="e">
        <f>IF(T243="","",INDEX('Backing 4'!U:U,MATCH(T243,'Backing 4'!T:T,0)))</f>
        <v>#N/A</v>
      </c>
      <c r="T243" t="str">
        <f t="shared" si="9"/>
        <v xml:space="preserve"> Senior Officer &amp; Internal Services</v>
      </c>
      <c r="U243" t="e">
        <f>IF(V243="","",INDEX('Backing 4'!Z:Z,MATCH(V243,'Backing 4'!Y:Y,0)))</f>
        <v>#N/A</v>
      </c>
      <c r="V243" t="str">
        <f t="shared" si="10"/>
        <v xml:space="preserve"> Senior Officer</v>
      </c>
      <c r="W243">
        <v>3</v>
      </c>
      <c r="X243" t="str">
        <f>IF(E243="Y","",IF(Y243="Y",INDEX('Backing 2'!B:B,MATCH(D243,'Backing 2'!C:C,0)),D243))</f>
        <v xml:space="preserve"> Senior Officer</v>
      </c>
      <c r="Y243" t="s">
        <v>81</v>
      </c>
      <c r="Z243">
        <v>3</v>
      </c>
      <c r="AA243" t="s">
        <v>70</v>
      </c>
      <c r="AB243">
        <v>37</v>
      </c>
      <c r="AC243" t="s">
        <v>31</v>
      </c>
      <c r="AD243" t="s">
        <v>74</v>
      </c>
      <c r="AE243" t="s">
        <v>74</v>
      </c>
      <c r="AF243" s="3">
        <v>42826</v>
      </c>
      <c r="AG243">
        <v>3</v>
      </c>
      <c r="AH243">
        <f t="shared" ca="1" si="11"/>
        <v>6.6964072733741609E-2</v>
      </c>
    </row>
    <row r="244" spans="1:34">
      <c r="A244">
        <v>243</v>
      </c>
      <c r="B244" t="s">
        <v>8</v>
      </c>
      <c r="C244">
        <v>2</v>
      </c>
      <c r="D244" t="s">
        <v>136</v>
      </c>
      <c r="E244" t="s">
        <v>81</v>
      </c>
      <c r="F244">
        <v>3</v>
      </c>
      <c r="G244" t="s">
        <v>82</v>
      </c>
      <c r="H244" t="s">
        <v>80</v>
      </c>
      <c r="I244" s="2">
        <v>0.5</v>
      </c>
      <c r="J244" t="s">
        <v>82</v>
      </c>
      <c r="K244" t="s">
        <v>79</v>
      </c>
      <c r="L244" t="s">
        <v>14</v>
      </c>
      <c r="M244">
        <v>0</v>
      </c>
      <c r="N244">
        <v>2</v>
      </c>
      <c r="O244" t="s">
        <v>136</v>
      </c>
      <c r="P244" t="s">
        <v>14</v>
      </c>
      <c r="Q244" s="1" t="s">
        <v>68</v>
      </c>
      <c r="R244" t="s">
        <v>68</v>
      </c>
      <c r="S244" t="e">
        <f>IF(T244="","",INDEX('Backing 4'!U:U,MATCH(T244,'Backing 4'!T:T,0)))</f>
        <v>#N/A</v>
      </c>
      <c r="T244" t="str">
        <f t="shared" si="9"/>
        <v xml:space="preserve"> Director &amp; Operations</v>
      </c>
      <c r="U244" t="s">
        <v>120</v>
      </c>
      <c r="V244" t="str">
        <f t="shared" si="10"/>
        <v xml:space="preserve"> Director</v>
      </c>
      <c r="W244">
        <v>1</v>
      </c>
      <c r="X244" t="e">
        <f>IF(E244="Y","",IF(Y244="Y",INDEX('Backing 2'!B:B,MATCH(D244,'Backing 2'!C:C,0)),D244))</f>
        <v>#N/A</v>
      </c>
      <c r="Y244" t="s">
        <v>79</v>
      </c>
      <c r="Z244">
        <v>2</v>
      </c>
      <c r="AA244" t="s">
        <v>71</v>
      </c>
      <c r="AB244">
        <v>42</v>
      </c>
      <c r="AC244" t="s">
        <v>19</v>
      </c>
      <c r="AD244" t="s">
        <v>19</v>
      </c>
      <c r="AE244" t="s">
        <v>19</v>
      </c>
      <c r="AF244" s="3">
        <v>41365</v>
      </c>
      <c r="AG244">
        <v>7</v>
      </c>
      <c r="AH244">
        <f t="shared" ca="1" si="11"/>
        <v>0.21802191070958021</v>
      </c>
    </row>
    <row r="245" spans="1:34">
      <c r="A245">
        <v>244</v>
      </c>
      <c r="B245" t="s">
        <v>8</v>
      </c>
      <c r="C245">
        <v>3</v>
      </c>
      <c r="D245" t="s">
        <v>137</v>
      </c>
      <c r="E245" t="s">
        <v>81</v>
      </c>
      <c r="F245">
        <v>2</v>
      </c>
      <c r="G245" t="s">
        <v>82</v>
      </c>
      <c r="H245" t="s">
        <v>80</v>
      </c>
      <c r="I245" s="2">
        <v>0.5</v>
      </c>
      <c r="J245" t="s">
        <v>82</v>
      </c>
      <c r="K245" t="s">
        <v>79</v>
      </c>
      <c r="L245" t="s">
        <v>16</v>
      </c>
      <c r="M245">
        <v>0</v>
      </c>
      <c r="N245">
        <v>3</v>
      </c>
      <c r="O245" t="s">
        <v>137</v>
      </c>
      <c r="P245" t="s">
        <v>16</v>
      </c>
      <c r="Q245" s="1" t="s">
        <v>68</v>
      </c>
      <c r="R245" t="s">
        <v>68</v>
      </c>
      <c r="S245" t="e">
        <f>IF(T245="","",INDEX('Backing 4'!U:U,MATCH(T245,'Backing 4'!T:T,0)))</f>
        <v>#N/A</v>
      </c>
      <c r="T245" t="str">
        <f t="shared" si="9"/>
        <v xml:space="preserve"> Senior Manager &amp; Sales &amp; Marketing</v>
      </c>
      <c r="U245" t="e">
        <f>IF(V245="","",INDEX('Backing 4'!Z:Z,MATCH(V245,'Backing 4'!Y:Y,0)))</f>
        <v>#N/A</v>
      </c>
      <c r="V245" t="str">
        <f t="shared" si="10"/>
        <v xml:space="preserve"> Senior Manager</v>
      </c>
      <c r="W245">
        <v>4</v>
      </c>
      <c r="X245" t="str">
        <f>IF(E245="Y","",IF(Y245="Y",INDEX('Backing 2'!B:B,MATCH(D245,'Backing 2'!C:C,0)),D245))</f>
        <v xml:space="preserve"> Senior Manager</v>
      </c>
      <c r="Y245" t="s">
        <v>81</v>
      </c>
      <c r="Z245">
        <v>4</v>
      </c>
      <c r="AA245" t="s">
        <v>71</v>
      </c>
      <c r="AB245">
        <v>41</v>
      </c>
      <c r="AC245" t="s">
        <v>36</v>
      </c>
      <c r="AD245" t="s">
        <v>74</v>
      </c>
      <c r="AE245" t="s">
        <v>74</v>
      </c>
      <c r="AF245" s="3">
        <v>40634</v>
      </c>
      <c r="AG245">
        <v>9</v>
      </c>
      <c r="AH245">
        <f t="shared" ca="1" si="11"/>
        <v>0.91903180499668435</v>
      </c>
    </row>
    <row r="246" spans="1:34">
      <c r="A246">
        <v>245</v>
      </c>
      <c r="B246" t="s">
        <v>7</v>
      </c>
      <c r="C246">
        <v>5</v>
      </c>
      <c r="D246" s="4" t="s">
        <v>138</v>
      </c>
      <c r="E246" t="s">
        <v>81</v>
      </c>
      <c r="F246">
        <v>2</v>
      </c>
      <c r="G246" t="s">
        <v>82</v>
      </c>
      <c r="H246" t="s">
        <v>82</v>
      </c>
      <c r="I246" s="2">
        <v>0.5</v>
      </c>
      <c r="J246" t="s">
        <v>80</v>
      </c>
      <c r="K246" t="s">
        <v>79</v>
      </c>
      <c r="L246" t="s">
        <v>14</v>
      </c>
      <c r="M246" t="s">
        <v>83</v>
      </c>
      <c r="N246">
        <v>0</v>
      </c>
      <c r="O246" t="s">
        <v>142</v>
      </c>
      <c r="P246" t="s">
        <v>14</v>
      </c>
      <c r="Q246" s="1">
        <v>0.7</v>
      </c>
      <c r="R246" t="s">
        <v>67</v>
      </c>
      <c r="S246" t="e">
        <f>IF(T246="","",INDEX('Backing 4'!U:U,MATCH(T246,'Backing 4'!T:T,0)))</f>
        <v>#N/A</v>
      </c>
      <c r="T246" t="str">
        <f t="shared" si="9"/>
        <v xml:space="preserve"> Senior Officer &amp; Operations</v>
      </c>
      <c r="U246" t="e">
        <f>IF(V246="","",INDEX('Backing 4'!Z:Z,MATCH(V246,'Backing 4'!Y:Y,0)))</f>
        <v>#N/A</v>
      </c>
      <c r="V246" t="str">
        <f t="shared" si="10"/>
        <v xml:space="preserve"> Senior Officer</v>
      </c>
      <c r="W246">
        <v>5</v>
      </c>
      <c r="X246" t="str">
        <f>IF(E246="Y","",IF(Y246="Y",INDEX('Backing 2'!B:B,MATCH(D246,'Backing 2'!C:C,0)),D246))</f>
        <v xml:space="preserve"> Senior Officer</v>
      </c>
      <c r="Y246" t="s">
        <v>81</v>
      </c>
      <c r="Z246">
        <v>3</v>
      </c>
      <c r="AA246" t="s">
        <v>71</v>
      </c>
      <c r="AB246">
        <v>49</v>
      </c>
      <c r="AC246" t="s">
        <v>19</v>
      </c>
      <c r="AD246" t="s">
        <v>19</v>
      </c>
      <c r="AE246" t="s">
        <v>19</v>
      </c>
      <c r="AF246" s="3">
        <v>42095</v>
      </c>
      <c r="AG246">
        <v>5</v>
      </c>
      <c r="AH246">
        <f t="shared" ca="1" si="11"/>
        <v>0.42338154339351164</v>
      </c>
    </row>
    <row r="247" spans="1:34">
      <c r="A247">
        <v>246</v>
      </c>
      <c r="B247" t="s">
        <v>8</v>
      </c>
      <c r="C247">
        <v>6</v>
      </c>
      <c r="D247" s="4" t="s">
        <v>134</v>
      </c>
      <c r="E247" t="s">
        <v>81</v>
      </c>
      <c r="F247">
        <v>3</v>
      </c>
      <c r="G247" t="s">
        <v>82</v>
      </c>
      <c r="H247" t="s">
        <v>82</v>
      </c>
      <c r="I247" s="2">
        <v>0.5</v>
      </c>
      <c r="J247" t="s">
        <v>80</v>
      </c>
      <c r="K247" t="s">
        <v>79</v>
      </c>
      <c r="L247" t="s">
        <v>16</v>
      </c>
      <c r="M247" t="s">
        <v>83</v>
      </c>
      <c r="N247">
        <v>0</v>
      </c>
      <c r="O247" t="s">
        <v>142</v>
      </c>
      <c r="P247" t="s">
        <v>16</v>
      </c>
      <c r="Q247" s="1" t="s">
        <v>68</v>
      </c>
      <c r="R247" t="s">
        <v>68</v>
      </c>
      <c r="S247" t="e">
        <f>IF(T247="","",INDEX('Backing 4'!U:U,MATCH(T247,'Backing 4'!T:T,0)))</f>
        <v>#N/A</v>
      </c>
      <c r="T247" t="str">
        <f t="shared" si="9"/>
        <v xml:space="preserve"> Junior Officer &amp; Sales &amp; Marketing</v>
      </c>
      <c r="U247" t="e">
        <f>IF(V247="","",INDEX('Backing 4'!Z:Z,MATCH(V247,'Backing 4'!Y:Y,0)))</f>
        <v>#N/A</v>
      </c>
      <c r="V247" t="str">
        <f t="shared" si="10"/>
        <v xml:space="preserve"> Junior Officer</v>
      </c>
      <c r="W247">
        <v>5</v>
      </c>
      <c r="X247" t="str">
        <f>IF(E247="Y","",IF(Y247="Y",INDEX('Backing 2'!B:B,MATCH(D247,'Backing 2'!C:C,0)),D247))</f>
        <v xml:space="preserve"> Junior Officer</v>
      </c>
      <c r="Y247" t="s">
        <v>81</v>
      </c>
      <c r="Z247">
        <v>3</v>
      </c>
      <c r="AA247" t="s">
        <v>69</v>
      </c>
      <c r="AB247">
        <v>25</v>
      </c>
      <c r="AC247" t="s">
        <v>19</v>
      </c>
      <c r="AD247" t="s">
        <v>19</v>
      </c>
      <c r="AE247" t="s">
        <v>19</v>
      </c>
      <c r="AF247" s="3">
        <v>42095</v>
      </c>
      <c r="AG247">
        <v>5</v>
      </c>
      <c r="AH247">
        <f t="shared" ca="1" si="11"/>
        <v>9.1910118826745046E-2</v>
      </c>
    </row>
    <row r="248" spans="1:34">
      <c r="A248">
        <v>247</v>
      </c>
      <c r="B248" t="s">
        <v>8</v>
      </c>
      <c r="C248">
        <v>6</v>
      </c>
      <c r="D248" t="s">
        <v>134</v>
      </c>
      <c r="E248" t="s">
        <v>81</v>
      </c>
      <c r="F248">
        <v>3</v>
      </c>
      <c r="G248" t="s">
        <v>82</v>
      </c>
      <c r="H248" t="s">
        <v>80</v>
      </c>
      <c r="I248" s="2">
        <v>0.5</v>
      </c>
      <c r="J248" t="s">
        <v>82</v>
      </c>
      <c r="K248" t="s">
        <v>79</v>
      </c>
      <c r="L248" t="s">
        <v>14</v>
      </c>
      <c r="M248">
        <v>0</v>
      </c>
      <c r="N248">
        <v>6</v>
      </c>
      <c r="O248" t="s">
        <v>134</v>
      </c>
      <c r="P248" t="s">
        <v>14</v>
      </c>
      <c r="Q248" s="1" t="s">
        <v>68</v>
      </c>
      <c r="R248" t="s">
        <v>68</v>
      </c>
      <c r="S248" t="e">
        <f>IF(T248="","",INDEX('Backing 4'!U:U,MATCH(T248,'Backing 4'!T:T,0)))</f>
        <v>#N/A</v>
      </c>
      <c r="T248" t="str">
        <f t="shared" si="9"/>
        <v xml:space="preserve"> Junior Officer &amp; Operations</v>
      </c>
      <c r="U248" t="e">
        <f>IF(V248="","",INDEX('Backing 4'!Z:Z,MATCH(V248,'Backing 4'!Y:Y,0)))</f>
        <v>#N/A</v>
      </c>
      <c r="V248" t="str">
        <f t="shared" si="10"/>
        <v xml:space="preserve"> Junior Officer</v>
      </c>
      <c r="W248">
        <v>3</v>
      </c>
      <c r="X248" t="str">
        <f>IF(E248="Y","",IF(Y248="Y",INDEX('Backing 2'!B:B,MATCH(D248,'Backing 2'!C:C,0)),D248))</f>
        <v xml:space="preserve"> Junior Officer</v>
      </c>
      <c r="Y248" t="s">
        <v>81</v>
      </c>
      <c r="Z248">
        <v>3</v>
      </c>
      <c r="AA248" t="s">
        <v>69</v>
      </c>
      <c r="AB248">
        <v>22</v>
      </c>
      <c r="AC248" t="s">
        <v>19</v>
      </c>
      <c r="AD248" t="s">
        <v>19</v>
      </c>
      <c r="AE248" t="s">
        <v>19</v>
      </c>
      <c r="AF248" s="3">
        <v>42826</v>
      </c>
      <c r="AG248">
        <v>3</v>
      </c>
      <c r="AH248">
        <f t="shared" ca="1" si="11"/>
        <v>0.59268706758284162</v>
      </c>
    </row>
    <row r="249" spans="1:34">
      <c r="A249">
        <v>248</v>
      </c>
      <c r="B249" t="s">
        <v>8</v>
      </c>
      <c r="C249">
        <v>4</v>
      </c>
      <c r="D249" t="s">
        <v>135</v>
      </c>
      <c r="E249" t="s">
        <v>81</v>
      </c>
      <c r="F249">
        <v>2</v>
      </c>
      <c r="G249" t="s">
        <v>82</v>
      </c>
      <c r="H249" t="s">
        <v>80</v>
      </c>
      <c r="I249" s="2">
        <v>0.5</v>
      </c>
      <c r="J249" t="s">
        <v>82</v>
      </c>
      <c r="K249" t="s">
        <v>79</v>
      </c>
      <c r="L249" t="s">
        <v>14</v>
      </c>
      <c r="M249">
        <v>0</v>
      </c>
      <c r="N249">
        <v>4</v>
      </c>
      <c r="O249" t="s">
        <v>135</v>
      </c>
      <c r="P249" t="s">
        <v>14</v>
      </c>
      <c r="Q249" s="1" t="s">
        <v>68</v>
      </c>
      <c r="R249" t="s">
        <v>68</v>
      </c>
      <c r="S249" t="e">
        <f>IF(T249="","",INDEX('Backing 4'!U:U,MATCH(T249,'Backing 4'!T:T,0)))</f>
        <v>#N/A</v>
      </c>
      <c r="T249" t="str">
        <f t="shared" si="9"/>
        <v xml:space="preserve"> Manager &amp; Operations</v>
      </c>
      <c r="U249" t="e">
        <f>IF(V249="","",INDEX('Backing 4'!Z:Z,MATCH(V249,'Backing 4'!Y:Y,0)))</f>
        <v>#N/A</v>
      </c>
      <c r="V249" t="str">
        <f t="shared" si="10"/>
        <v xml:space="preserve"> Manager</v>
      </c>
      <c r="W249">
        <v>1</v>
      </c>
      <c r="X249" t="e">
        <f>IF(E249="Y","",IF(Y249="Y",INDEX('Backing 2'!B:B,MATCH(D249,'Backing 2'!C:C,0)),D249))</f>
        <v>#N/A</v>
      </c>
      <c r="Y249" t="s">
        <v>79</v>
      </c>
      <c r="Z249">
        <v>1</v>
      </c>
      <c r="AA249" t="s">
        <v>70</v>
      </c>
      <c r="AB249">
        <v>30</v>
      </c>
      <c r="AC249" t="s">
        <v>21</v>
      </c>
      <c r="AD249" t="s">
        <v>74</v>
      </c>
      <c r="AE249" t="s">
        <v>74</v>
      </c>
      <c r="AF249" s="3">
        <v>41000</v>
      </c>
      <c r="AG249">
        <v>8</v>
      </c>
      <c r="AH249">
        <f t="shared" ca="1" si="11"/>
        <v>9.4325226955947139E-2</v>
      </c>
    </row>
    <row r="250" spans="1:34">
      <c r="A250">
        <v>249</v>
      </c>
      <c r="B250" t="s">
        <v>8</v>
      </c>
      <c r="C250">
        <v>6</v>
      </c>
      <c r="D250" t="s">
        <v>134</v>
      </c>
      <c r="E250" t="s">
        <v>81</v>
      </c>
      <c r="F250">
        <v>2</v>
      </c>
      <c r="G250" t="s">
        <v>82</v>
      </c>
      <c r="H250" t="s">
        <v>80</v>
      </c>
      <c r="I250" s="2">
        <v>0.5</v>
      </c>
      <c r="J250" t="s">
        <v>82</v>
      </c>
      <c r="K250" t="s">
        <v>79</v>
      </c>
      <c r="L250" t="s">
        <v>14</v>
      </c>
      <c r="M250">
        <v>0</v>
      </c>
      <c r="N250">
        <v>6</v>
      </c>
      <c r="O250" t="s">
        <v>134</v>
      </c>
      <c r="P250" t="s">
        <v>14</v>
      </c>
      <c r="Q250" s="1" t="s">
        <v>68</v>
      </c>
      <c r="R250" t="s">
        <v>68</v>
      </c>
      <c r="S250" t="e">
        <f>IF(T250="","",INDEX('Backing 4'!U:U,MATCH(T250,'Backing 4'!T:T,0)))</f>
        <v>#N/A</v>
      </c>
      <c r="T250" t="str">
        <f t="shared" si="9"/>
        <v xml:space="preserve"> Junior Officer &amp; Operations</v>
      </c>
      <c r="U250" t="e">
        <f>IF(V250="","",INDEX('Backing 4'!Z:Z,MATCH(V250,'Backing 4'!Y:Y,0)))</f>
        <v>#N/A</v>
      </c>
      <c r="V250" t="str">
        <f t="shared" si="10"/>
        <v xml:space="preserve"> Junior Officer</v>
      </c>
      <c r="W250">
        <v>2</v>
      </c>
      <c r="X250" t="str">
        <f>IF(E250="Y","",IF(Y250="Y",INDEX('Backing 2'!B:B,MATCH(D250,'Backing 2'!C:C,0)),D250))</f>
        <v xml:space="preserve"> Junior Officer</v>
      </c>
      <c r="Y250" t="s">
        <v>81</v>
      </c>
      <c r="Z250">
        <v>3</v>
      </c>
      <c r="AA250" t="s">
        <v>69</v>
      </c>
      <c r="AB250">
        <v>21</v>
      </c>
      <c r="AC250" t="s">
        <v>19</v>
      </c>
      <c r="AD250" t="s">
        <v>19</v>
      </c>
      <c r="AE250" t="s">
        <v>19</v>
      </c>
      <c r="AF250" s="3">
        <v>43191</v>
      </c>
      <c r="AG250">
        <v>2</v>
      </c>
      <c r="AH250">
        <f t="shared" ca="1" si="11"/>
        <v>0.78507504539104056</v>
      </c>
    </row>
    <row r="251" spans="1:34">
      <c r="A251">
        <v>250</v>
      </c>
      <c r="B251" t="s">
        <v>8</v>
      </c>
      <c r="C251">
        <v>6</v>
      </c>
      <c r="D251" s="4" t="s">
        <v>134</v>
      </c>
      <c r="E251" t="s">
        <v>81</v>
      </c>
      <c r="F251">
        <v>2</v>
      </c>
      <c r="G251" t="s">
        <v>82</v>
      </c>
      <c r="H251" t="s">
        <v>82</v>
      </c>
      <c r="I251" s="2">
        <v>0.5</v>
      </c>
      <c r="J251" t="s">
        <v>80</v>
      </c>
      <c r="K251" t="s">
        <v>79</v>
      </c>
      <c r="L251" t="s">
        <v>14</v>
      </c>
      <c r="M251" t="s">
        <v>83</v>
      </c>
      <c r="N251">
        <v>0</v>
      </c>
      <c r="O251" t="s">
        <v>142</v>
      </c>
      <c r="P251" t="s">
        <v>14</v>
      </c>
      <c r="Q251" s="1" t="s">
        <v>68</v>
      </c>
      <c r="R251" t="s">
        <v>68</v>
      </c>
      <c r="S251" t="e">
        <f>IF(T251="","",INDEX('Backing 4'!U:U,MATCH(T251,'Backing 4'!T:T,0)))</f>
        <v>#N/A</v>
      </c>
      <c r="T251" t="str">
        <f t="shared" si="9"/>
        <v xml:space="preserve"> Junior Officer &amp; Operations</v>
      </c>
      <c r="U251" t="e">
        <f>IF(V251="","",INDEX('Backing 4'!Z:Z,MATCH(V251,'Backing 4'!Y:Y,0)))</f>
        <v>#N/A</v>
      </c>
      <c r="V251" t="str">
        <f t="shared" si="10"/>
        <v xml:space="preserve"> Junior Officer</v>
      </c>
      <c r="W251">
        <v>5</v>
      </c>
      <c r="X251" t="str">
        <f>IF(E251="Y","",IF(Y251="Y",INDEX('Backing 2'!B:B,MATCH(D251,'Backing 2'!C:C,0)),D251))</f>
        <v xml:space="preserve"> Junior Officer</v>
      </c>
      <c r="Y251" t="s">
        <v>81</v>
      </c>
      <c r="Z251">
        <v>2</v>
      </c>
      <c r="AA251" t="s">
        <v>69</v>
      </c>
      <c r="AB251">
        <v>24</v>
      </c>
      <c r="AC251" t="s">
        <v>19</v>
      </c>
      <c r="AD251" t="s">
        <v>19</v>
      </c>
      <c r="AE251" t="s">
        <v>19</v>
      </c>
      <c r="AF251" s="3">
        <v>42095</v>
      </c>
      <c r="AG251">
        <v>5</v>
      </c>
      <c r="AH251">
        <f t="shared" ca="1" si="11"/>
        <v>0.40933235740933549</v>
      </c>
    </row>
    <row r="252" spans="1:34">
      <c r="A252">
        <v>251</v>
      </c>
      <c r="B252" t="s">
        <v>8</v>
      </c>
      <c r="C252">
        <v>6</v>
      </c>
      <c r="D252" t="s">
        <v>134</v>
      </c>
      <c r="E252" t="s">
        <v>81</v>
      </c>
      <c r="F252">
        <v>2</v>
      </c>
      <c r="G252" t="s">
        <v>80</v>
      </c>
      <c r="H252" t="s">
        <v>80</v>
      </c>
      <c r="I252" s="2">
        <v>0.5</v>
      </c>
      <c r="J252" t="s">
        <v>82</v>
      </c>
      <c r="K252" t="s">
        <v>79</v>
      </c>
      <c r="L252" t="s">
        <v>16</v>
      </c>
      <c r="M252">
        <v>0</v>
      </c>
      <c r="N252">
        <v>5</v>
      </c>
      <c r="O252" t="s">
        <v>138</v>
      </c>
      <c r="P252" t="s">
        <v>16</v>
      </c>
      <c r="Q252" s="1" t="s">
        <v>68</v>
      </c>
      <c r="R252" t="s">
        <v>68</v>
      </c>
      <c r="S252" t="e">
        <f>IF(T252="","",INDEX('Backing 4'!U:U,MATCH(T252,'Backing 4'!T:T,0)))</f>
        <v>#N/A</v>
      </c>
      <c r="T252" t="str">
        <f t="shared" si="9"/>
        <v xml:space="preserve"> Junior Officer &amp; Sales &amp; Marketing</v>
      </c>
      <c r="U252" t="e">
        <f>IF(V252="","",INDEX('Backing 4'!Z:Z,MATCH(V252,'Backing 4'!Y:Y,0)))</f>
        <v>#N/A</v>
      </c>
      <c r="V252" t="str">
        <f t="shared" si="10"/>
        <v xml:space="preserve"> Junior Officer</v>
      </c>
      <c r="W252">
        <v>1</v>
      </c>
      <c r="X252" t="str">
        <f>IF(E252="Y","",IF(Y252="Y",INDEX('Backing 2'!B:B,MATCH(D252,'Backing 2'!C:C,0)),D252))</f>
        <v xml:space="preserve"> Junior Officer</v>
      </c>
      <c r="Y252" t="s">
        <v>81</v>
      </c>
      <c r="Z252">
        <v>0</v>
      </c>
      <c r="AA252" t="s">
        <v>69</v>
      </c>
      <c r="AB252">
        <v>29</v>
      </c>
      <c r="AC252" t="s">
        <v>19</v>
      </c>
      <c r="AD252" t="s">
        <v>19</v>
      </c>
      <c r="AE252" t="s">
        <v>19</v>
      </c>
      <c r="AF252" s="3">
        <v>43556</v>
      </c>
      <c r="AG252">
        <v>1</v>
      </c>
      <c r="AH252">
        <f t="shared" ca="1" si="11"/>
        <v>0.14737099206886861</v>
      </c>
    </row>
    <row r="253" spans="1:34">
      <c r="A253">
        <v>252</v>
      </c>
      <c r="B253" t="s">
        <v>7</v>
      </c>
      <c r="C253">
        <v>6</v>
      </c>
      <c r="D253" t="s">
        <v>134</v>
      </c>
      <c r="E253" t="s">
        <v>81</v>
      </c>
      <c r="F253">
        <v>2</v>
      </c>
      <c r="G253" t="s">
        <v>82</v>
      </c>
      <c r="H253" t="s">
        <v>80</v>
      </c>
      <c r="I253" s="2">
        <v>0.5</v>
      </c>
      <c r="J253" t="s">
        <v>82</v>
      </c>
      <c r="K253" t="s">
        <v>79</v>
      </c>
      <c r="L253" t="s">
        <v>14</v>
      </c>
      <c r="M253">
        <v>0</v>
      </c>
      <c r="N253">
        <v>6</v>
      </c>
      <c r="O253" t="s">
        <v>134</v>
      </c>
      <c r="P253" t="s">
        <v>14</v>
      </c>
      <c r="Q253" s="1" t="s">
        <v>68</v>
      </c>
      <c r="R253" t="s">
        <v>68</v>
      </c>
      <c r="S253" t="e">
        <f>IF(T253="","",INDEX('Backing 4'!U:U,MATCH(T253,'Backing 4'!T:T,0)))</f>
        <v>#N/A</v>
      </c>
      <c r="T253" t="str">
        <f t="shared" si="9"/>
        <v xml:space="preserve"> Junior Officer &amp; Operations</v>
      </c>
      <c r="U253" t="e">
        <f>IF(V253="","",INDEX('Backing 4'!Z:Z,MATCH(V253,'Backing 4'!Y:Y,0)))</f>
        <v>#N/A</v>
      </c>
      <c r="V253" t="str">
        <f t="shared" si="10"/>
        <v xml:space="preserve"> Junior Officer</v>
      </c>
      <c r="W253">
        <v>2</v>
      </c>
      <c r="X253" t="str">
        <f>IF(E253="Y","",IF(Y253="Y",INDEX('Backing 2'!B:B,MATCH(D253,'Backing 2'!C:C,0)),D253))</f>
        <v xml:space="preserve"> Junior Officer</v>
      </c>
      <c r="Y253" t="s">
        <v>81</v>
      </c>
      <c r="Z253">
        <v>3</v>
      </c>
      <c r="AA253" t="s">
        <v>69</v>
      </c>
      <c r="AB253">
        <v>27</v>
      </c>
      <c r="AC253" t="s">
        <v>19</v>
      </c>
      <c r="AD253" t="s">
        <v>19</v>
      </c>
      <c r="AE253" t="s">
        <v>19</v>
      </c>
      <c r="AF253" s="3">
        <v>43191</v>
      </c>
      <c r="AG253">
        <v>2</v>
      </c>
      <c r="AH253">
        <f t="shared" ca="1" si="11"/>
        <v>0.39603620835084552</v>
      </c>
    </row>
    <row r="254" spans="1:34">
      <c r="A254">
        <v>253</v>
      </c>
      <c r="B254" t="s">
        <v>8</v>
      </c>
      <c r="C254">
        <v>6</v>
      </c>
      <c r="D254" t="s">
        <v>134</v>
      </c>
      <c r="E254" t="s">
        <v>81</v>
      </c>
      <c r="F254">
        <v>4</v>
      </c>
      <c r="G254" t="s">
        <v>82</v>
      </c>
      <c r="H254" t="s">
        <v>80</v>
      </c>
      <c r="I254" s="2">
        <v>0.5</v>
      </c>
      <c r="J254" t="s">
        <v>82</v>
      </c>
      <c r="K254" t="s">
        <v>79</v>
      </c>
      <c r="L254" t="s">
        <v>12</v>
      </c>
      <c r="M254">
        <v>0</v>
      </c>
      <c r="N254">
        <v>6</v>
      </c>
      <c r="O254" t="s">
        <v>134</v>
      </c>
      <c r="P254" t="s">
        <v>12</v>
      </c>
      <c r="Q254" s="1" t="s">
        <v>68</v>
      </c>
      <c r="R254" t="s">
        <v>68</v>
      </c>
      <c r="S254" t="e">
        <f>IF(T254="","",INDEX('Backing 4'!U:U,MATCH(T254,'Backing 4'!T:T,0)))</f>
        <v>#N/A</v>
      </c>
      <c r="T254" t="str">
        <f t="shared" si="9"/>
        <v xml:space="preserve"> Junior Officer &amp; Finance</v>
      </c>
      <c r="U254" t="e">
        <f>IF(V254="","",INDEX('Backing 4'!Z:Z,MATCH(V254,'Backing 4'!Y:Y,0)))</f>
        <v>#N/A</v>
      </c>
      <c r="V254" t="str">
        <f t="shared" si="10"/>
        <v xml:space="preserve"> Junior Officer</v>
      </c>
      <c r="W254">
        <v>5</v>
      </c>
      <c r="X254" t="str">
        <f>IF(E254="Y","",IF(Y254="Y",INDEX('Backing 2'!B:B,MATCH(D254,'Backing 2'!C:C,0)),D254))</f>
        <v xml:space="preserve"> Junior Officer</v>
      </c>
      <c r="Y254" t="s">
        <v>81</v>
      </c>
      <c r="Z254">
        <v>2</v>
      </c>
      <c r="AA254" t="s">
        <v>69</v>
      </c>
      <c r="AB254">
        <v>26</v>
      </c>
      <c r="AC254" t="s">
        <v>19</v>
      </c>
      <c r="AD254" t="s">
        <v>19</v>
      </c>
      <c r="AE254" t="s">
        <v>19</v>
      </c>
      <c r="AF254" s="3">
        <v>42095</v>
      </c>
      <c r="AG254">
        <v>5</v>
      </c>
      <c r="AH254">
        <f t="shared" ca="1" si="11"/>
        <v>0.20714304767259628</v>
      </c>
    </row>
    <row r="255" spans="1:34">
      <c r="A255">
        <v>254</v>
      </c>
      <c r="B255" t="s">
        <v>7</v>
      </c>
      <c r="C255">
        <v>6</v>
      </c>
      <c r="D255" t="s">
        <v>134</v>
      </c>
      <c r="E255" t="s">
        <v>81</v>
      </c>
      <c r="F255">
        <v>2</v>
      </c>
      <c r="G255" t="s">
        <v>82</v>
      </c>
      <c r="H255" t="s">
        <v>80</v>
      </c>
      <c r="I255" s="2">
        <v>0.5</v>
      </c>
      <c r="J255" t="s">
        <v>82</v>
      </c>
      <c r="K255" t="s">
        <v>79</v>
      </c>
      <c r="L255" t="s">
        <v>15</v>
      </c>
      <c r="M255">
        <v>0</v>
      </c>
      <c r="N255">
        <v>6</v>
      </c>
      <c r="O255" t="s">
        <v>134</v>
      </c>
      <c r="P255" t="s">
        <v>15</v>
      </c>
      <c r="Q255" s="1" t="s">
        <v>68</v>
      </c>
      <c r="R255" t="s">
        <v>68</v>
      </c>
      <c r="S255" t="e">
        <f>IF(T255="","",INDEX('Backing 4'!U:U,MATCH(T255,'Backing 4'!T:T,0)))</f>
        <v>#N/A</v>
      </c>
      <c r="T255" t="str">
        <f t="shared" si="9"/>
        <v xml:space="preserve"> Junior Officer &amp; Internal Services</v>
      </c>
      <c r="U255" t="e">
        <f>IF(V255="","",INDEX('Backing 4'!Z:Z,MATCH(V255,'Backing 4'!Y:Y,0)))</f>
        <v>#N/A</v>
      </c>
      <c r="V255" t="str">
        <f t="shared" si="10"/>
        <v xml:space="preserve"> Junior Officer</v>
      </c>
      <c r="W255">
        <v>2</v>
      </c>
      <c r="X255" t="str">
        <f>IF(E255="Y","",IF(Y255="Y",INDEX('Backing 2'!B:B,MATCH(D255,'Backing 2'!C:C,0)),D255))</f>
        <v xml:space="preserve"> Junior Officer</v>
      </c>
      <c r="Y255" t="s">
        <v>81</v>
      </c>
      <c r="Z255">
        <v>3</v>
      </c>
      <c r="AA255" t="s">
        <v>69</v>
      </c>
      <c r="AB255">
        <v>23</v>
      </c>
      <c r="AC255" t="s">
        <v>19</v>
      </c>
      <c r="AD255" t="s">
        <v>19</v>
      </c>
      <c r="AE255" t="s">
        <v>19</v>
      </c>
      <c r="AF255" s="3">
        <v>43191</v>
      </c>
      <c r="AG255">
        <v>2</v>
      </c>
      <c r="AH255">
        <f t="shared" ca="1" si="11"/>
        <v>0.85038253799654373</v>
      </c>
    </row>
    <row r="256" spans="1:34">
      <c r="A256">
        <v>255</v>
      </c>
      <c r="B256" t="s">
        <v>8</v>
      </c>
      <c r="C256">
        <v>6</v>
      </c>
      <c r="D256" t="s">
        <v>134</v>
      </c>
      <c r="E256" t="s">
        <v>81</v>
      </c>
      <c r="F256">
        <v>3</v>
      </c>
      <c r="G256" t="s">
        <v>82</v>
      </c>
      <c r="H256" t="s">
        <v>80</v>
      </c>
      <c r="I256" s="2">
        <v>0.5</v>
      </c>
      <c r="J256" t="s">
        <v>82</v>
      </c>
      <c r="K256" t="s">
        <v>79</v>
      </c>
      <c r="L256" t="s">
        <v>14</v>
      </c>
      <c r="M256">
        <v>0</v>
      </c>
      <c r="N256">
        <v>6</v>
      </c>
      <c r="O256" t="s">
        <v>134</v>
      </c>
      <c r="P256" t="s">
        <v>14</v>
      </c>
      <c r="Q256" s="1" t="s">
        <v>68</v>
      </c>
      <c r="R256" t="s">
        <v>68</v>
      </c>
      <c r="S256" t="e">
        <f>IF(T256="","",INDEX('Backing 4'!U:U,MATCH(T256,'Backing 4'!T:T,0)))</f>
        <v>#N/A</v>
      </c>
      <c r="T256" t="str">
        <f t="shared" si="9"/>
        <v xml:space="preserve"> Junior Officer &amp; Operations</v>
      </c>
      <c r="U256" t="e">
        <f>IF(V256="","",INDEX('Backing 4'!Z:Z,MATCH(V256,'Backing 4'!Y:Y,0)))</f>
        <v>#N/A</v>
      </c>
      <c r="V256" t="str">
        <f t="shared" si="10"/>
        <v xml:space="preserve"> Junior Officer</v>
      </c>
      <c r="W256">
        <v>1</v>
      </c>
      <c r="X256" t="str">
        <f>IF(E256="Y","",IF(Y256="Y",INDEX('Backing 2'!B:B,MATCH(D256,'Backing 2'!C:C,0)),D256))</f>
        <v xml:space="preserve"> Junior Officer</v>
      </c>
      <c r="Y256" t="s">
        <v>81</v>
      </c>
      <c r="Z256">
        <v>0</v>
      </c>
      <c r="AA256" t="s">
        <v>69</v>
      </c>
      <c r="AB256">
        <v>26</v>
      </c>
      <c r="AC256" t="s">
        <v>19</v>
      </c>
      <c r="AD256" t="s">
        <v>19</v>
      </c>
      <c r="AE256" t="s">
        <v>19</v>
      </c>
      <c r="AF256" s="3">
        <v>43556</v>
      </c>
      <c r="AG256">
        <v>1</v>
      </c>
      <c r="AH256">
        <f t="shared" ca="1" si="11"/>
        <v>0.25155539379722147</v>
      </c>
    </row>
    <row r="257" spans="1:34">
      <c r="A257">
        <v>256</v>
      </c>
      <c r="B257" t="s">
        <v>7</v>
      </c>
      <c r="C257">
        <v>5</v>
      </c>
      <c r="D257" t="s">
        <v>138</v>
      </c>
      <c r="E257" t="s">
        <v>81</v>
      </c>
      <c r="F257">
        <v>3</v>
      </c>
      <c r="G257" t="s">
        <v>82</v>
      </c>
      <c r="H257" t="s">
        <v>80</v>
      </c>
      <c r="I257" s="2">
        <v>0.5</v>
      </c>
      <c r="J257" t="s">
        <v>82</v>
      </c>
      <c r="K257" t="s">
        <v>79</v>
      </c>
      <c r="L257" t="s">
        <v>14</v>
      </c>
      <c r="M257">
        <v>0</v>
      </c>
      <c r="N257">
        <v>5</v>
      </c>
      <c r="O257" t="s">
        <v>138</v>
      </c>
      <c r="P257" t="s">
        <v>14</v>
      </c>
      <c r="Q257" s="1" t="s">
        <v>68</v>
      </c>
      <c r="R257" t="s">
        <v>68</v>
      </c>
      <c r="S257" t="e">
        <f>IF(T257="","",INDEX('Backing 4'!U:U,MATCH(T257,'Backing 4'!T:T,0)))</f>
        <v>#N/A</v>
      </c>
      <c r="T257" t="str">
        <f t="shared" si="9"/>
        <v xml:space="preserve"> Senior Officer &amp; Operations</v>
      </c>
      <c r="U257" t="e">
        <f>IF(V257="","",INDEX('Backing 4'!Z:Z,MATCH(V257,'Backing 4'!Y:Y,0)))</f>
        <v>#N/A</v>
      </c>
      <c r="V257" t="str">
        <f t="shared" si="10"/>
        <v xml:space="preserve"> Senior Officer</v>
      </c>
      <c r="W257">
        <v>3</v>
      </c>
      <c r="X257" t="str">
        <f>IF(E257="Y","",IF(Y257="Y",INDEX('Backing 2'!B:B,MATCH(D257,'Backing 2'!C:C,0)),D257))</f>
        <v xml:space="preserve"> Senior Officer</v>
      </c>
      <c r="Y257" t="s">
        <v>81</v>
      </c>
      <c r="Z257">
        <v>3</v>
      </c>
      <c r="AA257" t="s">
        <v>69</v>
      </c>
      <c r="AB257">
        <v>29</v>
      </c>
      <c r="AC257" t="s">
        <v>30</v>
      </c>
      <c r="AD257" t="s">
        <v>74</v>
      </c>
      <c r="AE257" t="s">
        <v>74</v>
      </c>
      <c r="AF257" s="3">
        <v>42095</v>
      </c>
      <c r="AG257">
        <v>5</v>
      </c>
      <c r="AH257">
        <f t="shared" ca="1" si="11"/>
        <v>0.74143431091456913</v>
      </c>
    </row>
    <row r="258" spans="1:34">
      <c r="A258">
        <v>257</v>
      </c>
      <c r="B258" t="s">
        <v>8</v>
      </c>
      <c r="C258">
        <v>1</v>
      </c>
      <c r="D258" t="s">
        <v>139</v>
      </c>
      <c r="E258" t="s">
        <v>81</v>
      </c>
      <c r="F258">
        <v>0</v>
      </c>
      <c r="G258" t="s">
        <v>82</v>
      </c>
      <c r="H258" t="s">
        <v>82</v>
      </c>
      <c r="I258" s="2">
        <v>0.5</v>
      </c>
      <c r="J258" t="s">
        <v>82</v>
      </c>
      <c r="K258" t="s">
        <v>79</v>
      </c>
      <c r="L258" t="s">
        <v>17</v>
      </c>
      <c r="M258">
        <v>0</v>
      </c>
      <c r="N258">
        <v>1</v>
      </c>
      <c r="O258" t="s">
        <v>139</v>
      </c>
      <c r="P258" t="s">
        <v>17</v>
      </c>
      <c r="Q258" s="1" t="s">
        <v>68</v>
      </c>
      <c r="R258" t="s">
        <v>68</v>
      </c>
      <c r="S258" t="e">
        <f>IF(T258="","",INDEX('Backing 4'!U:U,MATCH(T258,'Backing 4'!T:T,0)))</f>
        <v>#N/A</v>
      </c>
      <c r="T258" t="str">
        <f t="shared" ref="T258:T321" si="12">IF(O258="","",IF(D258="1 - Executive","",D258&amp;" &amp; "&amp;P258))</f>
        <v xml:space="preserve"> Executive &amp; Strategy</v>
      </c>
      <c r="U258" t="e">
        <f>IF(V258="","",INDEX('Backing 4'!Z:Z,MATCH(V258,'Backing 4'!Y:Y,0)))</f>
        <v>#N/A</v>
      </c>
      <c r="V258" t="str">
        <f t="shared" ref="V258:V321" si="13">IF(O258="","",IF(D258="1 - Executive","",D258))</f>
        <v xml:space="preserve"> Executive</v>
      </c>
      <c r="W258">
        <v>3</v>
      </c>
      <c r="X258" t="str">
        <f>IF(E258="Y","",IF(Y258="Y",INDEX('Backing 2'!B:B,MATCH(D258,'Backing 2'!C:C,0)),D258))</f>
        <v xml:space="preserve"> Executive</v>
      </c>
      <c r="Y258" t="s">
        <v>81</v>
      </c>
      <c r="Z258">
        <v>3</v>
      </c>
      <c r="AA258" t="s">
        <v>71</v>
      </c>
      <c r="AB258">
        <v>43</v>
      </c>
      <c r="AC258" t="s">
        <v>19</v>
      </c>
      <c r="AD258" t="s">
        <v>19</v>
      </c>
      <c r="AE258" t="s">
        <v>19</v>
      </c>
      <c r="AF258" s="3">
        <v>40634</v>
      </c>
      <c r="AG258">
        <v>9</v>
      </c>
      <c r="AH258">
        <f t="shared" ref="AH258:AH321" ca="1" si="14">RAND()</f>
        <v>0.21799457556597945</v>
      </c>
    </row>
    <row r="259" spans="1:34">
      <c r="A259">
        <v>258</v>
      </c>
      <c r="B259" t="s">
        <v>8</v>
      </c>
      <c r="C259">
        <v>6</v>
      </c>
      <c r="D259" t="s">
        <v>134</v>
      </c>
      <c r="E259" t="s">
        <v>81</v>
      </c>
      <c r="F259">
        <v>3</v>
      </c>
      <c r="G259" t="s">
        <v>82</v>
      </c>
      <c r="H259" t="s">
        <v>80</v>
      </c>
      <c r="I259" s="2">
        <v>0.5</v>
      </c>
      <c r="J259" t="s">
        <v>82</v>
      </c>
      <c r="K259" t="s">
        <v>79</v>
      </c>
      <c r="L259" t="s">
        <v>14</v>
      </c>
      <c r="M259">
        <v>0</v>
      </c>
      <c r="N259">
        <v>6</v>
      </c>
      <c r="O259" t="s">
        <v>134</v>
      </c>
      <c r="P259" t="s">
        <v>14</v>
      </c>
      <c r="Q259" s="1" t="s">
        <v>68</v>
      </c>
      <c r="R259" t="s">
        <v>68</v>
      </c>
      <c r="S259" t="e">
        <f>IF(T259="","",INDEX('Backing 4'!U:U,MATCH(T259,'Backing 4'!T:T,0)))</f>
        <v>#N/A</v>
      </c>
      <c r="T259" t="str">
        <f t="shared" si="12"/>
        <v xml:space="preserve"> Junior Officer &amp; Operations</v>
      </c>
      <c r="U259" t="e">
        <f>IF(V259="","",INDEX('Backing 4'!Z:Z,MATCH(V259,'Backing 4'!Y:Y,0)))</f>
        <v>#N/A</v>
      </c>
      <c r="V259" t="str">
        <f t="shared" si="13"/>
        <v xml:space="preserve"> Junior Officer</v>
      </c>
      <c r="W259">
        <v>2</v>
      </c>
      <c r="X259" t="str">
        <f>IF(E259="Y","",IF(Y259="Y",INDEX('Backing 2'!B:B,MATCH(D259,'Backing 2'!C:C,0)),D259))</f>
        <v xml:space="preserve"> Junior Officer</v>
      </c>
      <c r="Y259" t="s">
        <v>81</v>
      </c>
      <c r="Z259">
        <v>3</v>
      </c>
      <c r="AA259" t="s">
        <v>69</v>
      </c>
      <c r="AB259">
        <v>26</v>
      </c>
      <c r="AC259" t="s">
        <v>31</v>
      </c>
      <c r="AD259" t="s">
        <v>74</v>
      </c>
      <c r="AE259" t="s">
        <v>74</v>
      </c>
      <c r="AF259" s="3">
        <v>43191</v>
      </c>
      <c r="AG259">
        <v>2</v>
      </c>
      <c r="AH259">
        <f t="shared" ca="1" si="14"/>
        <v>0.44089263768742626</v>
      </c>
    </row>
    <row r="260" spans="1:34">
      <c r="A260">
        <v>259</v>
      </c>
      <c r="B260" t="s">
        <v>7</v>
      </c>
      <c r="C260">
        <v>6</v>
      </c>
      <c r="D260" t="s">
        <v>134</v>
      </c>
      <c r="E260" t="s">
        <v>81</v>
      </c>
      <c r="F260">
        <v>3</v>
      </c>
      <c r="G260" t="s">
        <v>82</v>
      </c>
      <c r="H260" t="s">
        <v>80</v>
      </c>
      <c r="I260" s="2">
        <v>0.5</v>
      </c>
      <c r="J260" t="s">
        <v>82</v>
      </c>
      <c r="K260" t="s">
        <v>79</v>
      </c>
      <c r="L260" t="s">
        <v>13</v>
      </c>
      <c r="M260">
        <v>0</v>
      </c>
      <c r="N260">
        <v>6</v>
      </c>
      <c r="O260" t="s">
        <v>134</v>
      </c>
      <c r="P260" t="s">
        <v>13</v>
      </c>
      <c r="Q260" s="1" t="s">
        <v>68</v>
      </c>
      <c r="R260" t="s">
        <v>68</v>
      </c>
      <c r="S260" t="e">
        <f>IF(T260="","",INDEX('Backing 4'!U:U,MATCH(T260,'Backing 4'!T:T,0)))</f>
        <v>#N/A</v>
      </c>
      <c r="T260" t="str">
        <f t="shared" si="12"/>
        <v xml:space="preserve"> Junior Officer &amp; HR</v>
      </c>
      <c r="U260" t="e">
        <f>IF(V260="","",INDEX('Backing 4'!Z:Z,MATCH(V260,'Backing 4'!Y:Y,0)))</f>
        <v>#N/A</v>
      </c>
      <c r="V260" t="str">
        <f t="shared" si="13"/>
        <v xml:space="preserve"> Junior Officer</v>
      </c>
      <c r="W260">
        <v>3</v>
      </c>
      <c r="X260" t="str">
        <f>IF(E260="Y","",IF(Y260="Y",INDEX('Backing 2'!B:B,MATCH(D260,'Backing 2'!C:C,0)),D260))</f>
        <v xml:space="preserve"> Junior Officer</v>
      </c>
      <c r="Y260" t="s">
        <v>81</v>
      </c>
      <c r="Z260">
        <v>3</v>
      </c>
      <c r="AA260" t="s">
        <v>69</v>
      </c>
      <c r="AB260">
        <v>23</v>
      </c>
      <c r="AC260" t="s">
        <v>19</v>
      </c>
      <c r="AD260" t="s">
        <v>19</v>
      </c>
      <c r="AE260" t="s">
        <v>19</v>
      </c>
      <c r="AF260" s="3">
        <v>42826</v>
      </c>
      <c r="AG260">
        <v>3</v>
      </c>
      <c r="AH260">
        <f t="shared" ca="1" si="14"/>
        <v>0.48835283904921623</v>
      </c>
    </row>
    <row r="261" spans="1:34">
      <c r="A261">
        <v>260</v>
      </c>
      <c r="B261" t="s">
        <v>8</v>
      </c>
      <c r="C261">
        <v>5</v>
      </c>
      <c r="D261" t="s">
        <v>138</v>
      </c>
      <c r="E261" t="s">
        <v>81</v>
      </c>
      <c r="F261">
        <v>3</v>
      </c>
      <c r="G261" t="s">
        <v>82</v>
      </c>
      <c r="H261" t="s">
        <v>80</v>
      </c>
      <c r="I261" s="2">
        <v>0.5</v>
      </c>
      <c r="J261" t="s">
        <v>82</v>
      </c>
      <c r="K261" t="s">
        <v>79</v>
      </c>
      <c r="L261" t="s">
        <v>16</v>
      </c>
      <c r="M261">
        <v>0</v>
      </c>
      <c r="N261">
        <v>5</v>
      </c>
      <c r="O261" t="s">
        <v>138</v>
      </c>
      <c r="P261" t="s">
        <v>16</v>
      </c>
      <c r="Q261" s="1" t="s">
        <v>68</v>
      </c>
      <c r="R261" t="s">
        <v>68</v>
      </c>
      <c r="S261" t="e">
        <f>IF(T261="","",INDEX('Backing 4'!U:U,MATCH(T261,'Backing 4'!T:T,0)))</f>
        <v>#N/A</v>
      </c>
      <c r="T261" t="str">
        <f t="shared" si="12"/>
        <v xml:space="preserve"> Senior Officer &amp; Sales &amp; Marketing</v>
      </c>
      <c r="U261" t="e">
        <f>IF(V261="","",INDEX('Backing 4'!Z:Z,MATCH(V261,'Backing 4'!Y:Y,0)))</f>
        <v>#N/A</v>
      </c>
      <c r="V261" t="str">
        <f t="shared" si="13"/>
        <v xml:space="preserve"> Senior Officer</v>
      </c>
      <c r="W261">
        <v>2</v>
      </c>
      <c r="X261" t="str">
        <f>IF(E261="Y","",IF(Y261="Y",INDEX('Backing 2'!B:B,MATCH(D261,'Backing 2'!C:C,0)),D261))</f>
        <v xml:space="preserve"> Senior Officer</v>
      </c>
      <c r="Y261" t="s">
        <v>81</v>
      </c>
      <c r="Z261">
        <v>3</v>
      </c>
      <c r="AA261" t="s">
        <v>69</v>
      </c>
      <c r="AB261">
        <v>28</v>
      </c>
      <c r="AC261" t="s">
        <v>19</v>
      </c>
      <c r="AD261" t="s">
        <v>19</v>
      </c>
      <c r="AE261" t="s">
        <v>19</v>
      </c>
      <c r="AF261" s="3">
        <v>42095</v>
      </c>
      <c r="AG261">
        <v>5</v>
      </c>
      <c r="AH261">
        <f t="shared" ca="1" si="14"/>
        <v>0.6189301067734998</v>
      </c>
    </row>
    <row r="262" spans="1:34">
      <c r="A262">
        <v>261</v>
      </c>
      <c r="B262" t="s">
        <v>7</v>
      </c>
      <c r="C262">
        <v>4</v>
      </c>
      <c r="D262" t="s">
        <v>135</v>
      </c>
      <c r="E262" t="s">
        <v>81</v>
      </c>
      <c r="F262">
        <v>2</v>
      </c>
      <c r="G262" t="s">
        <v>82</v>
      </c>
      <c r="H262" t="s">
        <v>80</v>
      </c>
      <c r="I262" s="2">
        <v>0.5</v>
      </c>
      <c r="J262" t="s">
        <v>82</v>
      </c>
      <c r="K262" t="s">
        <v>79</v>
      </c>
      <c r="L262" t="s">
        <v>13</v>
      </c>
      <c r="M262">
        <v>0</v>
      </c>
      <c r="N262">
        <v>4</v>
      </c>
      <c r="O262" t="s">
        <v>135</v>
      </c>
      <c r="P262" t="s">
        <v>13</v>
      </c>
      <c r="Q262" s="1" t="s">
        <v>68</v>
      </c>
      <c r="R262" t="s">
        <v>68</v>
      </c>
      <c r="S262" t="e">
        <f>IF(T262="","",INDEX('Backing 4'!U:U,MATCH(T262,'Backing 4'!T:T,0)))</f>
        <v>#N/A</v>
      </c>
      <c r="T262" t="str">
        <f t="shared" si="12"/>
        <v xml:space="preserve"> Manager &amp; HR</v>
      </c>
      <c r="U262" t="e">
        <f>IF(V262="","",INDEX('Backing 4'!Z:Z,MATCH(V262,'Backing 4'!Y:Y,0)))</f>
        <v>#N/A</v>
      </c>
      <c r="V262" t="str">
        <f t="shared" si="13"/>
        <v xml:space="preserve"> Manager</v>
      </c>
      <c r="W262">
        <v>7</v>
      </c>
      <c r="X262" t="str">
        <f>IF(E262="Y","",IF(Y262="Y",INDEX('Backing 2'!B:B,MATCH(D262,'Backing 2'!C:C,0)),D262))</f>
        <v xml:space="preserve"> Manager</v>
      </c>
      <c r="Y262" t="s">
        <v>81</v>
      </c>
      <c r="Z262">
        <v>3</v>
      </c>
      <c r="AA262" t="s">
        <v>70</v>
      </c>
      <c r="AB262">
        <v>39</v>
      </c>
      <c r="AC262" t="s">
        <v>31</v>
      </c>
      <c r="AD262" t="s">
        <v>74</v>
      </c>
      <c r="AE262" t="s">
        <v>74</v>
      </c>
      <c r="AF262" s="3">
        <v>41365</v>
      </c>
      <c r="AG262">
        <v>7</v>
      </c>
      <c r="AH262">
        <f t="shared" ca="1" si="14"/>
        <v>0.71438076190098665</v>
      </c>
    </row>
    <row r="263" spans="1:34">
      <c r="A263">
        <v>262</v>
      </c>
      <c r="B263" t="s">
        <v>8</v>
      </c>
      <c r="C263">
        <v>2</v>
      </c>
      <c r="D263" t="s">
        <v>136</v>
      </c>
      <c r="E263" t="s">
        <v>81</v>
      </c>
      <c r="F263">
        <v>2</v>
      </c>
      <c r="G263" t="s">
        <v>82</v>
      </c>
      <c r="H263" t="s">
        <v>80</v>
      </c>
      <c r="I263" s="2">
        <v>0.5</v>
      </c>
      <c r="J263" t="s">
        <v>82</v>
      </c>
      <c r="K263" t="s">
        <v>79</v>
      </c>
      <c r="L263" t="s">
        <v>12</v>
      </c>
      <c r="M263">
        <v>0</v>
      </c>
      <c r="N263">
        <v>2</v>
      </c>
      <c r="O263" t="s">
        <v>136</v>
      </c>
      <c r="P263" t="s">
        <v>12</v>
      </c>
      <c r="Q263" s="1" t="s">
        <v>68</v>
      </c>
      <c r="R263" t="s">
        <v>68</v>
      </c>
      <c r="S263" t="e">
        <f>IF(T263="","",INDEX('Backing 4'!U:U,MATCH(T263,'Backing 4'!T:T,0)))</f>
        <v>#N/A</v>
      </c>
      <c r="T263" t="str">
        <f t="shared" si="12"/>
        <v xml:space="preserve"> Director &amp; Finance</v>
      </c>
      <c r="U263" t="s">
        <v>120</v>
      </c>
      <c r="V263" t="str">
        <f t="shared" si="13"/>
        <v xml:space="preserve"> Director</v>
      </c>
      <c r="W263">
        <v>1</v>
      </c>
      <c r="X263" t="e">
        <f>IF(E263="Y","",IF(Y263="Y",INDEX('Backing 2'!B:B,MATCH(D263,'Backing 2'!C:C,0)),D263))</f>
        <v>#N/A</v>
      </c>
      <c r="Y263" t="s">
        <v>79</v>
      </c>
      <c r="Z263">
        <v>2</v>
      </c>
      <c r="AA263" t="s">
        <v>71</v>
      </c>
      <c r="AB263">
        <v>41</v>
      </c>
      <c r="AC263" t="s">
        <v>19</v>
      </c>
      <c r="AD263" t="s">
        <v>19</v>
      </c>
      <c r="AE263" t="s">
        <v>19</v>
      </c>
      <c r="AF263" s="3">
        <v>42095</v>
      </c>
      <c r="AG263">
        <v>5</v>
      </c>
      <c r="AH263">
        <f t="shared" ca="1" si="14"/>
        <v>0.32851485390345903</v>
      </c>
    </row>
    <row r="264" spans="1:34">
      <c r="A264">
        <v>263</v>
      </c>
      <c r="B264" t="s">
        <v>8</v>
      </c>
      <c r="C264">
        <v>5</v>
      </c>
      <c r="D264" t="s">
        <v>138</v>
      </c>
      <c r="E264" t="s">
        <v>79</v>
      </c>
      <c r="F264">
        <v>0</v>
      </c>
      <c r="G264" t="s">
        <v>82</v>
      </c>
      <c r="H264" t="s">
        <v>82</v>
      </c>
      <c r="I264" s="2">
        <v>0.5</v>
      </c>
      <c r="J264" t="s">
        <v>82</v>
      </c>
      <c r="K264" t="s">
        <v>81</v>
      </c>
      <c r="L264" t="s">
        <v>14</v>
      </c>
      <c r="M264">
        <v>0</v>
      </c>
      <c r="N264">
        <v>5</v>
      </c>
      <c r="O264" t="s">
        <v>138</v>
      </c>
      <c r="P264" t="s">
        <v>14</v>
      </c>
      <c r="Q264" s="1" t="s">
        <v>68</v>
      </c>
      <c r="R264" t="s">
        <v>68</v>
      </c>
      <c r="S264" t="e">
        <f>IF(T264="","",INDEX('Backing 4'!U:U,MATCH(T264,'Backing 4'!T:T,0)))</f>
        <v>#N/A</v>
      </c>
      <c r="T264" t="str">
        <f t="shared" si="12"/>
        <v xml:space="preserve"> Senior Officer &amp; Operations</v>
      </c>
      <c r="U264" t="e">
        <f>IF(V264="","",INDEX('Backing 4'!Z:Z,MATCH(V264,'Backing 4'!Y:Y,0)))</f>
        <v>#N/A</v>
      </c>
      <c r="V264" t="str">
        <f t="shared" si="13"/>
        <v xml:space="preserve"> Senior Officer</v>
      </c>
      <c r="W264">
        <v>0</v>
      </c>
      <c r="X264" t="str">
        <f>IF(E264="Y","",IF(Y264="Y",INDEX('Backing 2'!B:B,MATCH(D264,'Backing 2'!C:C,0)),D264))</f>
        <v/>
      </c>
      <c r="Y264" t="s">
        <v>81</v>
      </c>
      <c r="Z264">
        <v>0</v>
      </c>
      <c r="AA264" t="s">
        <v>69</v>
      </c>
      <c r="AB264">
        <v>27</v>
      </c>
      <c r="AC264" t="s">
        <v>39</v>
      </c>
      <c r="AD264" t="s">
        <v>74</v>
      </c>
      <c r="AE264" t="s">
        <v>74</v>
      </c>
      <c r="AF264" s="3">
        <v>43922</v>
      </c>
      <c r="AG264">
        <v>0</v>
      </c>
      <c r="AH264">
        <f t="shared" ca="1" si="14"/>
        <v>0.28195460417934592</v>
      </c>
    </row>
    <row r="265" spans="1:34">
      <c r="A265">
        <v>264</v>
      </c>
      <c r="B265" t="s">
        <v>8</v>
      </c>
      <c r="C265">
        <v>6</v>
      </c>
      <c r="D265" t="s">
        <v>134</v>
      </c>
      <c r="E265" t="s">
        <v>81</v>
      </c>
      <c r="F265">
        <v>2</v>
      </c>
      <c r="G265" t="s">
        <v>80</v>
      </c>
      <c r="H265" t="s">
        <v>80</v>
      </c>
      <c r="I265" s="2">
        <v>0.5</v>
      </c>
      <c r="J265" t="s">
        <v>82</v>
      </c>
      <c r="K265" t="s">
        <v>79</v>
      </c>
      <c r="L265" t="s">
        <v>14</v>
      </c>
      <c r="M265">
        <v>0</v>
      </c>
      <c r="N265">
        <v>5</v>
      </c>
      <c r="O265" t="s">
        <v>138</v>
      </c>
      <c r="P265" t="s">
        <v>14</v>
      </c>
      <c r="Q265" s="1" t="s">
        <v>68</v>
      </c>
      <c r="R265" t="s">
        <v>68</v>
      </c>
      <c r="S265" t="e">
        <f>IF(T265="","",INDEX('Backing 4'!U:U,MATCH(T265,'Backing 4'!T:T,0)))</f>
        <v>#N/A</v>
      </c>
      <c r="T265" t="str">
        <f t="shared" si="12"/>
        <v xml:space="preserve"> Junior Officer &amp; Operations</v>
      </c>
      <c r="U265" t="e">
        <f>IF(V265="","",INDEX('Backing 4'!Z:Z,MATCH(V265,'Backing 4'!Y:Y,0)))</f>
        <v>#N/A</v>
      </c>
      <c r="V265" t="str">
        <f t="shared" si="13"/>
        <v xml:space="preserve"> Junior Officer</v>
      </c>
      <c r="W265">
        <v>1</v>
      </c>
      <c r="X265" t="str">
        <f>IF(E265="Y","",IF(Y265="Y",INDEX('Backing 2'!B:B,MATCH(D265,'Backing 2'!C:C,0)),D265))</f>
        <v xml:space="preserve"> Junior Officer</v>
      </c>
      <c r="Y265" t="s">
        <v>81</v>
      </c>
      <c r="Z265">
        <v>0</v>
      </c>
      <c r="AA265" t="s">
        <v>69</v>
      </c>
      <c r="AB265">
        <v>28</v>
      </c>
      <c r="AC265" t="s">
        <v>31</v>
      </c>
      <c r="AD265" t="s">
        <v>74</v>
      </c>
      <c r="AE265" t="s">
        <v>74</v>
      </c>
      <c r="AF265" s="3">
        <v>43556</v>
      </c>
      <c r="AG265">
        <v>1</v>
      </c>
      <c r="AH265">
        <f t="shared" ca="1" si="14"/>
        <v>0.78453856409707257</v>
      </c>
    </row>
    <row r="266" spans="1:34">
      <c r="A266">
        <v>265</v>
      </c>
      <c r="B266" t="s">
        <v>7</v>
      </c>
      <c r="C266">
        <v>4</v>
      </c>
      <c r="D266" t="s">
        <v>135</v>
      </c>
      <c r="E266" t="s">
        <v>81</v>
      </c>
      <c r="F266">
        <v>2</v>
      </c>
      <c r="G266" t="s">
        <v>82</v>
      </c>
      <c r="H266" t="s">
        <v>80</v>
      </c>
      <c r="I266" s="2">
        <v>0.5</v>
      </c>
      <c r="J266" t="s">
        <v>82</v>
      </c>
      <c r="K266" t="s">
        <v>79</v>
      </c>
      <c r="L266" t="s">
        <v>14</v>
      </c>
      <c r="M266">
        <v>0</v>
      </c>
      <c r="N266">
        <v>4</v>
      </c>
      <c r="O266" t="s">
        <v>135</v>
      </c>
      <c r="P266" t="s">
        <v>14</v>
      </c>
      <c r="Q266" s="1" t="s">
        <v>68</v>
      </c>
      <c r="R266" t="s">
        <v>68</v>
      </c>
      <c r="S266" t="e">
        <f>IF(T266="","",INDEX('Backing 4'!U:U,MATCH(T266,'Backing 4'!T:T,0)))</f>
        <v>#N/A</v>
      </c>
      <c r="T266" t="str">
        <f t="shared" si="12"/>
        <v xml:space="preserve"> Manager &amp; Operations</v>
      </c>
      <c r="U266" t="e">
        <f>IF(V266="","",INDEX('Backing 4'!Z:Z,MATCH(V266,'Backing 4'!Y:Y,0)))</f>
        <v>#N/A</v>
      </c>
      <c r="V266" t="str">
        <f t="shared" si="13"/>
        <v xml:space="preserve"> Manager</v>
      </c>
      <c r="W266">
        <v>2</v>
      </c>
      <c r="X266" t="str">
        <f>IF(E266="Y","",IF(Y266="Y",INDEX('Backing 2'!B:B,MATCH(D266,'Backing 2'!C:C,0)),D266))</f>
        <v xml:space="preserve"> Manager</v>
      </c>
      <c r="Y266" t="s">
        <v>81</v>
      </c>
      <c r="Z266">
        <v>3</v>
      </c>
      <c r="AA266" t="s">
        <v>71</v>
      </c>
      <c r="AB266">
        <v>41</v>
      </c>
      <c r="AC266" t="s">
        <v>19</v>
      </c>
      <c r="AD266" t="s">
        <v>19</v>
      </c>
      <c r="AE266" t="s">
        <v>19</v>
      </c>
      <c r="AF266" s="3">
        <v>41000</v>
      </c>
      <c r="AG266">
        <v>8</v>
      </c>
      <c r="AH266">
        <f t="shared" ca="1" si="14"/>
        <v>0.86016435883532161</v>
      </c>
    </row>
    <row r="267" spans="1:34">
      <c r="A267">
        <v>266</v>
      </c>
      <c r="B267" t="s">
        <v>7</v>
      </c>
      <c r="C267">
        <v>5</v>
      </c>
      <c r="D267" t="s">
        <v>138</v>
      </c>
      <c r="E267" t="s">
        <v>81</v>
      </c>
      <c r="F267">
        <v>3</v>
      </c>
      <c r="G267" t="s">
        <v>82</v>
      </c>
      <c r="H267" t="s">
        <v>80</v>
      </c>
      <c r="I267" s="2">
        <v>0.5</v>
      </c>
      <c r="J267" t="s">
        <v>82</v>
      </c>
      <c r="K267" t="s">
        <v>79</v>
      </c>
      <c r="L267" t="s">
        <v>14</v>
      </c>
      <c r="M267">
        <v>0</v>
      </c>
      <c r="N267">
        <v>5</v>
      </c>
      <c r="O267" t="s">
        <v>138</v>
      </c>
      <c r="P267" t="s">
        <v>14</v>
      </c>
      <c r="Q267" s="1">
        <v>0.8</v>
      </c>
      <c r="R267" t="s">
        <v>67</v>
      </c>
      <c r="S267" t="e">
        <f>IF(T267="","",INDEX('Backing 4'!U:U,MATCH(T267,'Backing 4'!T:T,0)))</f>
        <v>#N/A</v>
      </c>
      <c r="T267" t="str">
        <f t="shared" si="12"/>
        <v xml:space="preserve"> Senior Officer &amp; Operations</v>
      </c>
      <c r="U267" t="e">
        <f>IF(V267="","",INDEX('Backing 4'!Z:Z,MATCH(V267,'Backing 4'!Y:Y,0)))</f>
        <v>#N/A</v>
      </c>
      <c r="V267" t="str">
        <f t="shared" si="13"/>
        <v xml:space="preserve"> Senior Officer</v>
      </c>
      <c r="W267">
        <v>2</v>
      </c>
      <c r="X267" t="str">
        <f>IF(E267="Y","",IF(Y267="Y",INDEX('Backing 2'!B:B,MATCH(D267,'Backing 2'!C:C,0)),D267))</f>
        <v xml:space="preserve"> Senior Officer</v>
      </c>
      <c r="Y267" t="s">
        <v>81</v>
      </c>
      <c r="Z267">
        <v>2</v>
      </c>
      <c r="AA267" t="s">
        <v>70</v>
      </c>
      <c r="AB267">
        <v>32</v>
      </c>
      <c r="AC267" t="s">
        <v>19</v>
      </c>
      <c r="AD267" t="s">
        <v>19</v>
      </c>
      <c r="AE267" t="s">
        <v>19</v>
      </c>
      <c r="AF267" s="3">
        <v>43191</v>
      </c>
      <c r="AG267">
        <v>2</v>
      </c>
      <c r="AH267">
        <f t="shared" ca="1" si="14"/>
        <v>0.52749946411393622</v>
      </c>
    </row>
    <row r="268" spans="1:34">
      <c r="A268">
        <v>267</v>
      </c>
      <c r="B268" t="s">
        <v>7</v>
      </c>
      <c r="C268">
        <v>5</v>
      </c>
      <c r="D268" t="s">
        <v>138</v>
      </c>
      <c r="E268" t="s">
        <v>81</v>
      </c>
      <c r="F268">
        <v>2</v>
      </c>
      <c r="G268" t="s">
        <v>82</v>
      </c>
      <c r="H268" t="s">
        <v>80</v>
      </c>
      <c r="I268" s="2">
        <v>0.5</v>
      </c>
      <c r="J268" t="s">
        <v>82</v>
      </c>
      <c r="K268" t="s">
        <v>79</v>
      </c>
      <c r="L268" t="s">
        <v>12</v>
      </c>
      <c r="M268">
        <v>0</v>
      </c>
      <c r="N268">
        <v>5</v>
      </c>
      <c r="O268" t="s">
        <v>138</v>
      </c>
      <c r="P268" t="s">
        <v>12</v>
      </c>
      <c r="Q268" s="1" t="s">
        <v>68</v>
      </c>
      <c r="R268" t="s">
        <v>68</v>
      </c>
      <c r="S268" t="e">
        <f>IF(T268="","",INDEX('Backing 4'!U:U,MATCH(T268,'Backing 4'!T:T,0)))</f>
        <v>#N/A</v>
      </c>
      <c r="T268" t="str">
        <f t="shared" si="12"/>
        <v xml:space="preserve"> Senior Officer &amp; Finance</v>
      </c>
      <c r="U268" t="e">
        <f>IF(V268="","",INDEX('Backing 4'!Z:Z,MATCH(V268,'Backing 4'!Y:Y,0)))</f>
        <v>#N/A</v>
      </c>
      <c r="V268" t="str">
        <f t="shared" si="13"/>
        <v xml:space="preserve"> Senior Officer</v>
      </c>
      <c r="W268">
        <v>1</v>
      </c>
      <c r="X268" t="e">
        <f>IF(E268="Y","",IF(Y268="Y",INDEX('Backing 2'!B:B,MATCH(D268,'Backing 2'!C:C,0)),D268))</f>
        <v>#N/A</v>
      </c>
      <c r="Y268" t="s">
        <v>79</v>
      </c>
      <c r="Z268">
        <v>1</v>
      </c>
      <c r="AA268" t="s">
        <v>69</v>
      </c>
      <c r="AB268">
        <v>29</v>
      </c>
      <c r="AC268" t="s">
        <v>19</v>
      </c>
      <c r="AD268" t="s">
        <v>19</v>
      </c>
      <c r="AE268" t="s">
        <v>19</v>
      </c>
      <c r="AF268" s="3">
        <v>42826</v>
      </c>
      <c r="AG268">
        <v>3</v>
      </c>
      <c r="AH268">
        <f t="shared" ca="1" si="14"/>
        <v>4.4433269735689618E-2</v>
      </c>
    </row>
    <row r="269" spans="1:34">
      <c r="A269">
        <v>268</v>
      </c>
      <c r="B269" t="s">
        <v>7</v>
      </c>
      <c r="C269">
        <v>6</v>
      </c>
      <c r="D269" t="s">
        <v>134</v>
      </c>
      <c r="E269" t="s">
        <v>81</v>
      </c>
      <c r="F269">
        <v>3</v>
      </c>
      <c r="G269" t="s">
        <v>82</v>
      </c>
      <c r="H269" t="s">
        <v>80</v>
      </c>
      <c r="I269" s="2">
        <v>0.5</v>
      </c>
      <c r="J269" t="s">
        <v>82</v>
      </c>
      <c r="K269" t="s">
        <v>79</v>
      </c>
      <c r="L269" t="s">
        <v>14</v>
      </c>
      <c r="M269">
        <v>0</v>
      </c>
      <c r="N269">
        <v>6</v>
      </c>
      <c r="O269" t="s">
        <v>134</v>
      </c>
      <c r="P269" t="s">
        <v>14</v>
      </c>
      <c r="Q269" s="1" t="s">
        <v>68</v>
      </c>
      <c r="R269" t="s">
        <v>68</v>
      </c>
      <c r="S269" t="e">
        <f>IF(T269="","",INDEX('Backing 4'!U:U,MATCH(T269,'Backing 4'!T:T,0)))</f>
        <v>#N/A</v>
      </c>
      <c r="T269" t="str">
        <f t="shared" si="12"/>
        <v xml:space="preserve"> Junior Officer &amp; Operations</v>
      </c>
      <c r="U269" t="e">
        <f>IF(V269="","",INDEX('Backing 4'!Z:Z,MATCH(V269,'Backing 4'!Y:Y,0)))</f>
        <v>#N/A</v>
      </c>
      <c r="V269" t="str">
        <f t="shared" si="13"/>
        <v xml:space="preserve"> Junior Officer</v>
      </c>
      <c r="W269">
        <v>3</v>
      </c>
      <c r="X269" t="str">
        <f>IF(E269="Y","",IF(Y269="Y",INDEX('Backing 2'!B:B,MATCH(D269,'Backing 2'!C:C,0)),D269))</f>
        <v xml:space="preserve"> Junior Officer</v>
      </c>
      <c r="Y269" t="s">
        <v>81</v>
      </c>
      <c r="Z269">
        <v>3</v>
      </c>
      <c r="AA269" t="s">
        <v>69</v>
      </c>
      <c r="AB269">
        <v>23</v>
      </c>
      <c r="AC269" t="s">
        <v>31</v>
      </c>
      <c r="AD269" t="s">
        <v>74</v>
      </c>
      <c r="AE269" t="s">
        <v>74</v>
      </c>
      <c r="AF269" s="3">
        <v>42826</v>
      </c>
      <c r="AG269">
        <v>3</v>
      </c>
      <c r="AH269">
        <f t="shared" ca="1" si="14"/>
        <v>9.4510930091432077E-2</v>
      </c>
    </row>
    <row r="270" spans="1:34">
      <c r="A270">
        <v>269</v>
      </c>
      <c r="B270" t="s">
        <v>8</v>
      </c>
      <c r="C270">
        <v>5</v>
      </c>
      <c r="D270" t="s">
        <v>138</v>
      </c>
      <c r="E270" t="s">
        <v>81</v>
      </c>
      <c r="F270">
        <v>3</v>
      </c>
      <c r="G270" t="s">
        <v>80</v>
      </c>
      <c r="H270" t="s">
        <v>80</v>
      </c>
      <c r="I270" s="2">
        <v>0.5</v>
      </c>
      <c r="J270" t="s">
        <v>82</v>
      </c>
      <c r="K270" t="s">
        <v>79</v>
      </c>
      <c r="L270" t="s">
        <v>17</v>
      </c>
      <c r="M270">
        <v>0</v>
      </c>
      <c r="N270">
        <v>4</v>
      </c>
      <c r="O270" t="s">
        <v>135</v>
      </c>
      <c r="P270" t="s">
        <v>17</v>
      </c>
      <c r="Q270" s="1" t="s">
        <v>68</v>
      </c>
      <c r="R270" t="s">
        <v>68</v>
      </c>
      <c r="S270" t="e">
        <f>IF(T270="","",INDEX('Backing 4'!U:U,MATCH(T270,'Backing 4'!T:T,0)))</f>
        <v>#N/A</v>
      </c>
      <c r="T270" t="str">
        <f t="shared" si="12"/>
        <v xml:space="preserve"> Senior Officer &amp; Strategy</v>
      </c>
      <c r="U270" t="e">
        <f>IF(V270="","",INDEX('Backing 4'!Z:Z,MATCH(V270,'Backing 4'!Y:Y,0)))</f>
        <v>#N/A</v>
      </c>
      <c r="V270" t="str">
        <f t="shared" si="13"/>
        <v xml:space="preserve"> Senior Officer</v>
      </c>
      <c r="W270">
        <v>3</v>
      </c>
      <c r="X270" t="str">
        <f>IF(E270="Y","",IF(Y270="Y",INDEX('Backing 2'!B:B,MATCH(D270,'Backing 2'!C:C,0)),D270))</f>
        <v xml:space="preserve"> Senior Officer</v>
      </c>
      <c r="Y270" t="s">
        <v>81</v>
      </c>
      <c r="Z270">
        <v>3</v>
      </c>
      <c r="AA270" t="s">
        <v>70</v>
      </c>
      <c r="AB270">
        <v>36</v>
      </c>
      <c r="AC270" t="s">
        <v>19</v>
      </c>
      <c r="AD270" t="s">
        <v>19</v>
      </c>
      <c r="AE270" t="s">
        <v>19</v>
      </c>
      <c r="AF270" s="3">
        <v>42826</v>
      </c>
      <c r="AG270">
        <v>3</v>
      </c>
      <c r="AH270">
        <f t="shared" ca="1" si="14"/>
        <v>0.53132514839135747</v>
      </c>
    </row>
    <row r="271" spans="1:34">
      <c r="A271">
        <v>270</v>
      </c>
      <c r="B271" t="s">
        <v>7</v>
      </c>
      <c r="C271">
        <v>6</v>
      </c>
      <c r="D271" t="s">
        <v>134</v>
      </c>
      <c r="E271" t="s">
        <v>81</v>
      </c>
      <c r="F271">
        <v>2</v>
      </c>
      <c r="G271" t="s">
        <v>82</v>
      </c>
      <c r="H271" t="s">
        <v>80</v>
      </c>
      <c r="I271" s="2">
        <v>0.5</v>
      </c>
      <c r="J271" t="s">
        <v>82</v>
      </c>
      <c r="K271" t="s">
        <v>79</v>
      </c>
      <c r="L271" t="s">
        <v>14</v>
      </c>
      <c r="M271">
        <v>0</v>
      </c>
      <c r="N271">
        <v>6</v>
      </c>
      <c r="O271" t="s">
        <v>134</v>
      </c>
      <c r="P271" t="s">
        <v>14</v>
      </c>
      <c r="Q271" s="1" t="s">
        <v>68</v>
      </c>
      <c r="R271" t="s">
        <v>68</v>
      </c>
      <c r="S271" t="e">
        <f>IF(T271="","",INDEX('Backing 4'!U:U,MATCH(T271,'Backing 4'!T:T,0)))</f>
        <v>#N/A</v>
      </c>
      <c r="T271" t="str">
        <f t="shared" si="12"/>
        <v xml:space="preserve"> Junior Officer &amp; Operations</v>
      </c>
      <c r="U271" t="e">
        <f>IF(V271="","",INDEX('Backing 4'!Z:Z,MATCH(V271,'Backing 4'!Y:Y,0)))</f>
        <v>#N/A</v>
      </c>
      <c r="V271" t="str">
        <f t="shared" si="13"/>
        <v xml:space="preserve"> Junior Officer</v>
      </c>
      <c r="W271">
        <v>5</v>
      </c>
      <c r="X271" t="str">
        <f>IF(E271="Y","",IF(Y271="Y",INDEX('Backing 2'!B:B,MATCH(D271,'Backing 2'!C:C,0)),D271))</f>
        <v xml:space="preserve"> Junior Officer</v>
      </c>
      <c r="Y271" t="s">
        <v>81</v>
      </c>
      <c r="Z271">
        <v>3</v>
      </c>
      <c r="AA271" t="s">
        <v>69</v>
      </c>
      <c r="AB271">
        <v>27</v>
      </c>
      <c r="AC271" t="s">
        <v>19</v>
      </c>
      <c r="AD271" t="s">
        <v>19</v>
      </c>
      <c r="AE271" t="s">
        <v>19</v>
      </c>
      <c r="AF271" s="3">
        <v>42095</v>
      </c>
      <c r="AG271">
        <v>5</v>
      </c>
      <c r="AH271">
        <f t="shared" ca="1" si="14"/>
        <v>0.83655844521925737</v>
      </c>
    </row>
    <row r="272" spans="1:34">
      <c r="A272">
        <v>271</v>
      </c>
      <c r="B272" t="s">
        <v>7</v>
      </c>
      <c r="C272">
        <v>4</v>
      </c>
      <c r="D272" t="s">
        <v>135</v>
      </c>
      <c r="E272" t="s">
        <v>81</v>
      </c>
      <c r="F272">
        <v>4</v>
      </c>
      <c r="G272" t="s">
        <v>82</v>
      </c>
      <c r="H272" t="s">
        <v>80</v>
      </c>
      <c r="I272" s="2">
        <v>0.5</v>
      </c>
      <c r="J272" t="s">
        <v>82</v>
      </c>
      <c r="K272" t="s">
        <v>79</v>
      </c>
      <c r="L272" t="s">
        <v>16</v>
      </c>
      <c r="M272">
        <v>0</v>
      </c>
      <c r="N272">
        <v>4</v>
      </c>
      <c r="O272" t="s">
        <v>135</v>
      </c>
      <c r="P272" t="s">
        <v>16</v>
      </c>
      <c r="Q272" s="1" t="s">
        <v>68</v>
      </c>
      <c r="R272" t="s">
        <v>68</v>
      </c>
      <c r="S272" t="e">
        <f>IF(T272="","",INDEX('Backing 4'!U:U,MATCH(T272,'Backing 4'!T:T,0)))</f>
        <v>#N/A</v>
      </c>
      <c r="T272" t="str">
        <f t="shared" si="12"/>
        <v xml:space="preserve"> Manager &amp; Sales &amp; Marketing</v>
      </c>
      <c r="U272" t="e">
        <f>IF(V272="","",INDEX('Backing 4'!Z:Z,MATCH(V272,'Backing 4'!Y:Y,0)))</f>
        <v>#N/A</v>
      </c>
      <c r="V272" t="str">
        <f t="shared" si="13"/>
        <v xml:space="preserve"> Manager</v>
      </c>
      <c r="W272">
        <v>3</v>
      </c>
      <c r="X272" t="str">
        <f>IF(E272="Y","",IF(Y272="Y",INDEX('Backing 2'!B:B,MATCH(D272,'Backing 2'!C:C,0)),D272))</f>
        <v xml:space="preserve"> Manager</v>
      </c>
      <c r="Y272" t="s">
        <v>81</v>
      </c>
      <c r="Z272">
        <v>3</v>
      </c>
      <c r="AA272" t="s">
        <v>71</v>
      </c>
      <c r="AB272">
        <v>41</v>
      </c>
      <c r="AC272" t="s">
        <v>19</v>
      </c>
      <c r="AD272" t="s">
        <v>19</v>
      </c>
      <c r="AE272" t="s">
        <v>19</v>
      </c>
      <c r="AF272" s="3">
        <v>40634</v>
      </c>
      <c r="AG272">
        <v>9</v>
      </c>
      <c r="AH272">
        <f t="shared" ca="1" si="14"/>
        <v>0.11336492206408988</v>
      </c>
    </row>
    <row r="273" spans="1:34">
      <c r="A273">
        <v>272</v>
      </c>
      <c r="B273" t="s">
        <v>7</v>
      </c>
      <c r="C273">
        <v>2</v>
      </c>
      <c r="D273" t="s">
        <v>136</v>
      </c>
      <c r="E273" t="s">
        <v>79</v>
      </c>
      <c r="F273">
        <v>0</v>
      </c>
      <c r="G273" t="s">
        <v>82</v>
      </c>
      <c r="H273" t="s">
        <v>82</v>
      </c>
      <c r="I273" s="2">
        <v>0.5</v>
      </c>
      <c r="J273" t="s">
        <v>82</v>
      </c>
      <c r="K273" t="s">
        <v>81</v>
      </c>
      <c r="L273" t="s">
        <v>14</v>
      </c>
      <c r="M273">
        <v>0</v>
      </c>
      <c r="N273">
        <v>2</v>
      </c>
      <c r="O273" t="s">
        <v>136</v>
      </c>
      <c r="P273" t="s">
        <v>14</v>
      </c>
      <c r="Q273" s="1" t="s">
        <v>68</v>
      </c>
      <c r="R273" t="s">
        <v>68</v>
      </c>
      <c r="S273" t="e">
        <f>IF(T273="","",INDEX('Backing 4'!U:U,MATCH(T273,'Backing 4'!T:T,0)))</f>
        <v>#N/A</v>
      </c>
      <c r="T273" t="str">
        <f t="shared" si="12"/>
        <v xml:space="preserve"> Director &amp; Operations</v>
      </c>
      <c r="U273" t="s">
        <v>120</v>
      </c>
      <c r="V273" t="str">
        <f t="shared" si="13"/>
        <v xml:space="preserve"> Director</v>
      </c>
      <c r="W273">
        <v>0</v>
      </c>
      <c r="X273" t="str">
        <f>IF(E273="Y","",IF(Y273="Y",INDEX('Backing 2'!B:B,MATCH(D273,'Backing 2'!C:C,0)),D273))</f>
        <v/>
      </c>
      <c r="Y273" t="s">
        <v>81</v>
      </c>
      <c r="Z273">
        <v>0</v>
      </c>
      <c r="AA273" t="s">
        <v>70</v>
      </c>
      <c r="AB273">
        <v>39</v>
      </c>
      <c r="AC273" t="s">
        <v>19</v>
      </c>
      <c r="AD273" t="s">
        <v>19</v>
      </c>
      <c r="AE273" t="s">
        <v>19</v>
      </c>
      <c r="AF273" s="3">
        <v>43922</v>
      </c>
      <c r="AG273">
        <v>0</v>
      </c>
      <c r="AH273">
        <f t="shared" ca="1" si="14"/>
        <v>2.8922673859715919E-3</v>
      </c>
    </row>
    <row r="274" spans="1:34">
      <c r="A274">
        <v>273</v>
      </c>
      <c r="B274" t="s">
        <v>7</v>
      </c>
      <c r="C274">
        <v>6</v>
      </c>
      <c r="D274" t="s">
        <v>134</v>
      </c>
      <c r="E274" t="s">
        <v>81</v>
      </c>
      <c r="F274">
        <v>3</v>
      </c>
      <c r="G274" t="s">
        <v>82</v>
      </c>
      <c r="H274" t="s">
        <v>80</v>
      </c>
      <c r="I274" s="2">
        <v>0.5</v>
      </c>
      <c r="J274" t="s">
        <v>82</v>
      </c>
      <c r="K274" t="s">
        <v>79</v>
      </c>
      <c r="L274" t="s">
        <v>15</v>
      </c>
      <c r="M274">
        <v>0</v>
      </c>
      <c r="N274">
        <v>6</v>
      </c>
      <c r="O274" t="s">
        <v>134</v>
      </c>
      <c r="P274" t="s">
        <v>15</v>
      </c>
      <c r="Q274" s="1" t="s">
        <v>68</v>
      </c>
      <c r="R274" t="s">
        <v>68</v>
      </c>
      <c r="S274" t="e">
        <f>IF(T274="","",INDEX('Backing 4'!U:U,MATCH(T274,'Backing 4'!T:T,0)))</f>
        <v>#N/A</v>
      </c>
      <c r="T274" t="str">
        <f t="shared" si="12"/>
        <v xml:space="preserve"> Junior Officer &amp; Internal Services</v>
      </c>
      <c r="U274" t="e">
        <f>IF(V274="","",INDEX('Backing 4'!Z:Z,MATCH(V274,'Backing 4'!Y:Y,0)))</f>
        <v>#N/A</v>
      </c>
      <c r="V274" t="str">
        <f t="shared" si="13"/>
        <v xml:space="preserve"> Junior Officer</v>
      </c>
      <c r="W274">
        <v>4</v>
      </c>
      <c r="X274" t="str">
        <f>IF(E274="Y","",IF(Y274="Y",INDEX('Backing 2'!B:B,MATCH(D274,'Backing 2'!C:C,0)),D274))</f>
        <v xml:space="preserve"> Junior Officer</v>
      </c>
      <c r="Y274" t="s">
        <v>81</v>
      </c>
      <c r="Z274">
        <v>3</v>
      </c>
      <c r="AA274" t="s">
        <v>69</v>
      </c>
      <c r="AB274">
        <v>24</v>
      </c>
      <c r="AC274" t="s">
        <v>19</v>
      </c>
      <c r="AD274" t="s">
        <v>19</v>
      </c>
      <c r="AE274" t="s">
        <v>19</v>
      </c>
      <c r="AF274" s="3">
        <v>42461</v>
      </c>
      <c r="AG274">
        <v>4</v>
      </c>
      <c r="AH274">
        <f t="shared" ca="1" si="14"/>
        <v>0.34860313650147989</v>
      </c>
    </row>
    <row r="275" spans="1:34">
      <c r="A275">
        <v>274</v>
      </c>
      <c r="B275" t="s">
        <v>8</v>
      </c>
      <c r="C275">
        <v>6</v>
      </c>
      <c r="D275" t="s">
        <v>134</v>
      </c>
      <c r="E275" t="s">
        <v>81</v>
      </c>
      <c r="F275">
        <v>2</v>
      </c>
      <c r="G275" t="s">
        <v>82</v>
      </c>
      <c r="H275" t="s">
        <v>80</v>
      </c>
      <c r="I275" s="2">
        <v>0.5</v>
      </c>
      <c r="J275" t="s">
        <v>82</v>
      </c>
      <c r="K275" t="s">
        <v>79</v>
      </c>
      <c r="L275" t="s">
        <v>14</v>
      </c>
      <c r="M275">
        <v>0</v>
      </c>
      <c r="N275">
        <v>6</v>
      </c>
      <c r="O275" t="s">
        <v>134</v>
      </c>
      <c r="P275" t="s">
        <v>14</v>
      </c>
      <c r="Q275" s="1" t="s">
        <v>68</v>
      </c>
      <c r="R275" t="s">
        <v>68</v>
      </c>
      <c r="S275" t="e">
        <f>IF(T275="","",INDEX('Backing 4'!U:U,MATCH(T275,'Backing 4'!T:T,0)))</f>
        <v>#N/A</v>
      </c>
      <c r="T275" t="str">
        <f t="shared" si="12"/>
        <v xml:space="preserve"> Junior Officer &amp; Operations</v>
      </c>
      <c r="U275" t="e">
        <f>IF(V275="","",INDEX('Backing 4'!Z:Z,MATCH(V275,'Backing 4'!Y:Y,0)))</f>
        <v>#N/A</v>
      </c>
      <c r="V275" t="str">
        <f t="shared" si="13"/>
        <v xml:space="preserve"> Junior Officer</v>
      </c>
      <c r="W275">
        <v>2</v>
      </c>
      <c r="X275" t="str">
        <f>IF(E275="Y","",IF(Y275="Y",INDEX('Backing 2'!B:B,MATCH(D275,'Backing 2'!C:C,0)),D275))</f>
        <v xml:space="preserve"> Junior Officer</v>
      </c>
      <c r="Y275" t="s">
        <v>81</v>
      </c>
      <c r="Z275">
        <v>3</v>
      </c>
      <c r="AA275" t="s">
        <v>129</v>
      </c>
      <c r="AB275">
        <v>19</v>
      </c>
      <c r="AC275" t="s">
        <v>19</v>
      </c>
      <c r="AD275" t="s">
        <v>19</v>
      </c>
      <c r="AE275" t="s">
        <v>19</v>
      </c>
      <c r="AF275" s="3">
        <v>43191</v>
      </c>
      <c r="AG275">
        <v>2</v>
      </c>
      <c r="AH275">
        <f t="shared" ca="1" si="14"/>
        <v>0.66681518294444797</v>
      </c>
    </row>
    <row r="276" spans="1:34">
      <c r="A276">
        <v>275</v>
      </c>
      <c r="B276" t="s">
        <v>7</v>
      </c>
      <c r="C276">
        <v>2</v>
      </c>
      <c r="D276" s="4" t="s">
        <v>136</v>
      </c>
      <c r="E276" t="s">
        <v>81</v>
      </c>
      <c r="F276">
        <v>3</v>
      </c>
      <c r="G276" t="s">
        <v>82</v>
      </c>
      <c r="H276" t="s">
        <v>82</v>
      </c>
      <c r="I276" s="2">
        <v>0.5</v>
      </c>
      <c r="J276" t="s">
        <v>80</v>
      </c>
      <c r="K276" t="s">
        <v>79</v>
      </c>
      <c r="L276" t="s">
        <v>14</v>
      </c>
      <c r="M276" t="s">
        <v>83</v>
      </c>
      <c r="N276">
        <v>0</v>
      </c>
      <c r="O276" t="s">
        <v>142</v>
      </c>
      <c r="P276" t="s">
        <v>14</v>
      </c>
      <c r="Q276" s="1" t="s">
        <v>68</v>
      </c>
      <c r="R276" t="s">
        <v>68</v>
      </c>
      <c r="S276" t="e">
        <f>IF(T276="","",INDEX('Backing 4'!U:U,MATCH(T276,'Backing 4'!T:T,0)))</f>
        <v>#N/A</v>
      </c>
      <c r="T276" t="str">
        <f t="shared" si="12"/>
        <v xml:space="preserve"> Director &amp; Operations</v>
      </c>
      <c r="U276" t="e">
        <f>IF(V276="","",INDEX('Backing 4'!Z:Z,MATCH(V276,'Backing 4'!Y:Y,0)))</f>
        <v>#N/A</v>
      </c>
      <c r="V276" t="str">
        <f t="shared" si="13"/>
        <v xml:space="preserve"> Director</v>
      </c>
      <c r="W276">
        <v>5</v>
      </c>
      <c r="X276" t="str">
        <f>IF(E276="Y","",IF(Y276="Y",INDEX('Backing 2'!B:B,MATCH(D276,'Backing 2'!C:C,0)),D276))</f>
        <v xml:space="preserve"> Director</v>
      </c>
      <c r="Y276" t="s">
        <v>81</v>
      </c>
      <c r="Z276">
        <v>0</v>
      </c>
      <c r="AA276" t="s">
        <v>71</v>
      </c>
      <c r="AB276">
        <v>41</v>
      </c>
      <c r="AC276" t="s">
        <v>31</v>
      </c>
      <c r="AD276" t="s">
        <v>74</v>
      </c>
      <c r="AE276" t="s">
        <v>74</v>
      </c>
      <c r="AF276" s="3">
        <v>42095</v>
      </c>
      <c r="AG276">
        <v>5</v>
      </c>
      <c r="AH276">
        <f t="shared" ca="1" si="14"/>
        <v>0.11072099367465538</v>
      </c>
    </row>
    <row r="277" spans="1:34">
      <c r="A277">
        <v>276</v>
      </c>
      <c r="B277" t="s">
        <v>8</v>
      </c>
      <c r="C277">
        <v>6</v>
      </c>
      <c r="D277" t="s">
        <v>134</v>
      </c>
      <c r="E277" t="s">
        <v>81</v>
      </c>
      <c r="F277">
        <v>1</v>
      </c>
      <c r="G277" t="s">
        <v>82</v>
      </c>
      <c r="H277" t="s">
        <v>80</v>
      </c>
      <c r="I277" s="2">
        <v>0.5</v>
      </c>
      <c r="J277" t="s">
        <v>82</v>
      </c>
      <c r="K277" t="s">
        <v>79</v>
      </c>
      <c r="L277" t="s">
        <v>16</v>
      </c>
      <c r="M277">
        <v>0</v>
      </c>
      <c r="N277">
        <v>6</v>
      </c>
      <c r="O277" t="s">
        <v>134</v>
      </c>
      <c r="P277" t="s">
        <v>16</v>
      </c>
      <c r="Q277" s="1" t="s">
        <v>68</v>
      </c>
      <c r="R277" t="s">
        <v>68</v>
      </c>
      <c r="S277" t="e">
        <f>IF(T277="","",INDEX('Backing 4'!U:U,MATCH(T277,'Backing 4'!T:T,0)))</f>
        <v>#N/A</v>
      </c>
      <c r="T277" t="str">
        <f t="shared" si="12"/>
        <v xml:space="preserve"> Junior Officer &amp; Sales &amp; Marketing</v>
      </c>
      <c r="U277" t="e">
        <f>IF(V277="","",INDEX('Backing 4'!Z:Z,MATCH(V277,'Backing 4'!Y:Y,0)))</f>
        <v>#N/A</v>
      </c>
      <c r="V277" t="str">
        <f t="shared" si="13"/>
        <v xml:space="preserve"> Junior Officer</v>
      </c>
      <c r="W277">
        <v>3</v>
      </c>
      <c r="X277" t="str">
        <f>IF(E277="Y","",IF(Y277="Y",INDEX('Backing 2'!B:B,MATCH(D277,'Backing 2'!C:C,0)),D277))</f>
        <v xml:space="preserve"> Junior Officer</v>
      </c>
      <c r="Y277" t="s">
        <v>81</v>
      </c>
      <c r="Z277">
        <v>2</v>
      </c>
      <c r="AA277" t="s">
        <v>129</v>
      </c>
      <c r="AB277">
        <v>19</v>
      </c>
      <c r="AC277" t="s">
        <v>31</v>
      </c>
      <c r="AD277" t="s">
        <v>74</v>
      </c>
      <c r="AE277" t="s">
        <v>74</v>
      </c>
      <c r="AF277" s="3">
        <v>42826</v>
      </c>
      <c r="AG277">
        <v>3</v>
      </c>
      <c r="AH277">
        <f t="shared" ca="1" si="14"/>
        <v>0.56118926967185245</v>
      </c>
    </row>
    <row r="278" spans="1:34">
      <c r="A278">
        <v>277</v>
      </c>
      <c r="B278" t="s">
        <v>8</v>
      </c>
      <c r="C278">
        <v>6</v>
      </c>
      <c r="D278" t="s">
        <v>134</v>
      </c>
      <c r="E278" t="s">
        <v>81</v>
      </c>
      <c r="F278">
        <v>3</v>
      </c>
      <c r="G278" t="s">
        <v>82</v>
      </c>
      <c r="H278" t="s">
        <v>80</v>
      </c>
      <c r="I278" s="2">
        <v>0.5</v>
      </c>
      <c r="J278" t="s">
        <v>82</v>
      </c>
      <c r="K278" t="s">
        <v>79</v>
      </c>
      <c r="L278" t="s">
        <v>14</v>
      </c>
      <c r="M278">
        <v>0</v>
      </c>
      <c r="N278">
        <v>6</v>
      </c>
      <c r="O278" t="s">
        <v>134</v>
      </c>
      <c r="P278" t="s">
        <v>14</v>
      </c>
      <c r="Q278" s="1" t="s">
        <v>68</v>
      </c>
      <c r="R278" t="s">
        <v>68</v>
      </c>
      <c r="S278" t="e">
        <f>IF(T278="","",INDEX('Backing 4'!U:U,MATCH(T278,'Backing 4'!T:T,0)))</f>
        <v>#N/A</v>
      </c>
      <c r="T278" t="str">
        <f t="shared" si="12"/>
        <v xml:space="preserve"> Junior Officer &amp; Operations</v>
      </c>
      <c r="U278" t="e">
        <f>IF(V278="","",INDEX('Backing 4'!Z:Z,MATCH(V278,'Backing 4'!Y:Y,0)))</f>
        <v>#N/A</v>
      </c>
      <c r="V278" t="str">
        <f t="shared" si="13"/>
        <v xml:space="preserve"> Junior Officer</v>
      </c>
      <c r="W278">
        <v>3</v>
      </c>
      <c r="X278" t="str">
        <f>IF(E278="Y","",IF(Y278="Y",INDEX('Backing 2'!B:B,MATCH(D278,'Backing 2'!C:C,0)),D278))</f>
        <v xml:space="preserve"> Junior Officer</v>
      </c>
      <c r="Y278" t="s">
        <v>81</v>
      </c>
      <c r="Z278">
        <v>2</v>
      </c>
      <c r="AA278" t="s">
        <v>69</v>
      </c>
      <c r="AB278">
        <v>23</v>
      </c>
      <c r="AC278" t="s">
        <v>31</v>
      </c>
      <c r="AD278" t="s">
        <v>74</v>
      </c>
      <c r="AE278" t="s">
        <v>74</v>
      </c>
      <c r="AF278" s="3">
        <v>42826</v>
      </c>
      <c r="AG278">
        <v>3</v>
      </c>
      <c r="AH278">
        <f t="shared" ca="1" si="14"/>
        <v>0.67033282462077248</v>
      </c>
    </row>
    <row r="279" spans="1:34">
      <c r="A279">
        <v>278</v>
      </c>
      <c r="B279" t="s">
        <v>8</v>
      </c>
      <c r="C279">
        <v>3</v>
      </c>
      <c r="D279" t="s">
        <v>137</v>
      </c>
      <c r="E279" t="s">
        <v>81</v>
      </c>
      <c r="F279">
        <v>2</v>
      </c>
      <c r="G279" t="s">
        <v>82</v>
      </c>
      <c r="H279" t="s">
        <v>80</v>
      </c>
      <c r="I279" s="2">
        <v>0.5</v>
      </c>
      <c r="J279" t="s">
        <v>82</v>
      </c>
      <c r="K279" t="s">
        <v>79</v>
      </c>
      <c r="L279" t="s">
        <v>16</v>
      </c>
      <c r="M279">
        <v>0</v>
      </c>
      <c r="N279">
        <v>3</v>
      </c>
      <c r="O279" t="s">
        <v>137</v>
      </c>
      <c r="P279" t="s">
        <v>16</v>
      </c>
      <c r="Q279" s="1" t="s">
        <v>68</v>
      </c>
      <c r="R279" t="s">
        <v>68</v>
      </c>
      <c r="S279" t="e">
        <f>IF(T279="","",INDEX('Backing 4'!U:U,MATCH(T279,'Backing 4'!T:T,0)))</f>
        <v>#N/A</v>
      </c>
      <c r="T279" t="str">
        <f t="shared" si="12"/>
        <v xml:space="preserve"> Senior Manager &amp; Sales &amp; Marketing</v>
      </c>
      <c r="U279" t="e">
        <f>IF(V279="","",INDEX('Backing 4'!Z:Z,MATCH(V279,'Backing 4'!Y:Y,0)))</f>
        <v>#N/A</v>
      </c>
      <c r="V279" t="str">
        <f t="shared" si="13"/>
        <v xml:space="preserve"> Senior Manager</v>
      </c>
      <c r="W279">
        <v>4</v>
      </c>
      <c r="X279" t="str">
        <f>IF(E279="Y","",IF(Y279="Y",INDEX('Backing 2'!B:B,MATCH(D279,'Backing 2'!C:C,0)),D279))</f>
        <v xml:space="preserve"> Senior Manager</v>
      </c>
      <c r="Y279" t="s">
        <v>81</v>
      </c>
      <c r="Z279">
        <v>3</v>
      </c>
      <c r="AA279" t="s">
        <v>70</v>
      </c>
      <c r="AB279">
        <v>39</v>
      </c>
      <c r="AC279" t="s">
        <v>19</v>
      </c>
      <c r="AD279" t="s">
        <v>19</v>
      </c>
      <c r="AE279" t="s">
        <v>19</v>
      </c>
      <c r="AF279" s="3">
        <v>42461</v>
      </c>
      <c r="AG279">
        <v>4</v>
      </c>
      <c r="AH279">
        <f t="shared" ca="1" si="14"/>
        <v>0.28558771798057137</v>
      </c>
    </row>
    <row r="280" spans="1:34">
      <c r="A280">
        <v>279</v>
      </c>
      <c r="B280" t="s">
        <v>8</v>
      </c>
      <c r="C280">
        <v>6</v>
      </c>
      <c r="D280" t="s">
        <v>134</v>
      </c>
      <c r="E280" t="s">
        <v>81</v>
      </c>
      <c r="F280">
        <v>2</v>
      </c>
      <c r="G280" t="s">
        <v>82</v>
      </c>
      <c r="H280" t="s">
        <v>80</v>
      </c>
      <c r="I280" s="2">
        <v>0.5</v>
      </c>
      <c r="J280" t="s">
        <v>82</v>
      </c>
      <c r="K280" t="s">
        <v>79</v>
      </c>
      <c r="L280" t="s">
        <v>16</v>
      </c>
      <c r="M280">
        <v>0</v>
      </c>
      <c r="N280">
        <v>6</v>
      </c>
      <c r="O280" t="s">
        <v>134</v>
      </c>
      <c r="P280" t="s">
        <v>16</v>
      </c>
      <c r="Q280" s="1" t="s">
        <v>68</v>
      </c>
      <c r="R280" t="s">
        <v>68</v>
      </c>
      <c r="S280" t="e">
        <f>IF(T280="","",INDEX('Backing 4'!U:U,MATCH(T280,'Backing 4'!T:T,0)))</f>
        <v>#N/A</v>
      </c>
      <c r="T280" t="str">
        <f t="shared" si="12"/>
        <v xml:space="preserve"> Junior Officer &amp; Sales &amp; Marketing</v>
      </c>
      <c r="U280" t="e">
        <f>IF(V280="","",INDEX('Backing 4'!Z:Z,MATCH(V280,'Backing 4'!Y:Y,0)))</f>
        <v>#N/A</v>
      </c>
      <c r="V280" t="str">
        <f t="shared" si="13"/>
        <v xml:space="preserve"> Junior Officer</v>
      </c>
      <c r="W280">
        <v>4</v>
      </c>
      <c r="X280" t="str">
        <f>IF(E280="Y","",IF(Y280="Y",INDEX('Backing 2'!B:B,MATCH(D280,'Backing 2'!C:C,0)),D280))</f>
        <v xml:space="preserve"> Junior Officer</v>
      </c>
      <c r="Y280" t="s">
        <v>81</v>
      </c>
      <c r="Z280">
        <v>3</v>
      </c>
      <c r="AA280" t="s">
        <v>69</v>
      </c>
      <c r="AB280">
        <v>24</v>
      </c>
      <c r="AC280" t="s">
        <v>19</v>
      </c>
      <c r="AD280" t="s">
        <v>19</v>
      </c>
      <c r="AE280" t="s">
        <v>19</v>
      </c>
      <c r="AF280" s="3">
        <v>42461</v>
      </c>
      <c r="AG280">
        <v>4</v>
      </c>
      <c r="AH280">
        <f t="shared" ca="1" si="14"/>
        <v>0.95680779330235954</v>
      </c>
    </row>
    <row r="281" spans="1:34">
      <c r="A281">
        <v>280</v>
      </c>
      <c r="B281" t="s">
        <v>8</v>
      </c>
      <c r="C281">
        <v>1</v>
      </c>
      <c r="D281" t="s">
        <v>139</v>
      </c>
      <c r="E281" t="s">
        <v>79</v>
      </c>
      <c r="F281">
        <v>0</v>
      </c>
      <c r="G281" t="s">
        <v>82</v>
      </c>
      <c r="H281" t="s">
        <v>82</v>
      </c>
      <c r="I281" s="2">
        <v>0.5</v>
      </c>
      <c r="J281" t="s">
        <v>82</v>
      </c>
      <c r="K281" t="s">
        <v>81</v>
      </c>
      <c r="L281" t="s">
        <v>15</v>
      </c>
      <c r="M281">
        <v>0</v>
      </c>
      <c r="N281">
        <v>1</v>
      </c>
      <c r="O281" t="s">
        <v>139</v>
      </c>
      <c r="P281" t="s">
        <v>15</v>
      </c>
      <c r="Q281" s="1" t="s">
        <v>68</v>
      </c>
      <c r="R281" t="s">
        <v>68</v>
      </c>
      <c r="S281" t="e">
        <f>IF(T281="","",INDEX('Backing 4'!U:U,MATCH(T281,'Backing 4'!T:T,0)))</f>
        <v>#N/A</v>
      </c>
      <c r="T281" t="str">
        <f t="shared" si="12"/>
        <v xml:space="preserve"> Executive &amp; Internal Services</v>
      </c>
      <c r="U281" t="e">
        <f>IF(V281="","",INDEX('Backing 4'!Z:Z,MATCH(V281,'Backing 4'!Y:Y,0)))</f>
        <v>#N/A</v>
      </c>
      <c r="V281" t="str">
        <f t="shared" si="13"/>
        <v xml:space="preserve"> Executive</v>
      </c>
      <c r="W281">
        <v>0</v>
      </c>
      <c r="X281" t="str">
        <f>IF(E281="Y","",IF(Y281="Y",INDEX('Backing 2'!B:B,MATCH(D281,'Backing 2'!C:C,0)),D281))</f>
        <v/>
      </c>
      <c r="Y281" t="s">
        <v>81</v>
      </c>
      <c r="Z281">
        <v>0</v>
      </c>
      <c r="AA281" t="s">
        <v>70</v>
      </c>
      <c r="AB281">
        <v>38</v>
      </c>
      <c r="AC281" t="s">
        <v>31</v>
      </c>
      <c r="AD281" t="s">
        <v>74</v>
      </c>
      <c r="AE281" t="s">
        <v>74</v>
      </c>
      <c r="AF281" s="3">
        <v>43922</v>
      </c>
      <c r="AG281">
        <v>0</v>
      </c>
      <c r="AH281">
        <f t="shared" ca="1" si="14"/>
        <v>0.19189215073336019</v>
      </c>
    </row>
    <row r="282" spans="1:34">
      <c r="A282">
        <v>281</v>
      </c>
      <c r="B282" t="s">
        <v>8</v>
      </c>
      <c r="C282">
        <v>6</v>
      </c>
      <c r="D282" t="s">
        <v>134</v>
      </c>
      <c r="E282" t="s">
        <v>81</v>
      </c>
      <c r="F282">
        <v>2</v>
      </c>
      <c r="G282" t="s">
        <v>82</v>
      </c>
      <c r="H282" t="s">
        <v>80</v>
      </c>
      <c r="I282" s="2">
        <v>0.5</v>
      </c>
      <c r="J282" t="s">
        <v>82</v>
      </c>
      <c r="K282" t="s">
        <v>79</v>
      </c>
      <c r="L282" t="s">
        <v>14</v>
      </c>
      <c r="M282">
        <v>0</v>
      </c>
      <c r="N282">
        <v>6</v>
      </c>
      <c r="O282" t="s">
        <v>134</v>
      </c>
      <c r="P282" t="s">
        <v>14</v>
      </c>
      <c r="Q282" s="1" t="s">
        <v>68</v>
      </c>
      <c r="R282" t="s">
        <v>68</v>
      </c>
      <c r="S282" t="e">
        <f>IF(T282="","",INDEX('Backing 4'!U:U,MATCH(T282,'Backing 4'!T:T,0)))</f>
        <v>#N/A</v>
      </c>
      <c r="T282" t="str">
        <f t="shared" si="12"/>
        <v xml:space="preserve"> Junior Officer &amp; Operations</v>
      </c>
      <c r="U282" t="e">
        <f>IF(V282="","",INDEX('Backing 4'!Z:Z,MATCH(V282,'Backing 4'!Y:Y,0)))</f>
        <v>#N/A</v>
      </c>
      <c r="V282" t="str">
        <f t="shared" si="13"/>
        <v xml:space="preserve"> Junior Officer</v>
      </c>
      <c r="W282">
        <v>3</v>
      </c>
      <c r="X282" t="str">
        <f>IF(E282="Y","",IF(Y282="Y",INDEX('Backing 2'!B:B,MATCH(D282,'Backing 2'!C:C,0)),D282))</f>
        <v xml:space="preserve"> Junior Officer</v>
      </c>
      <c r="Y282" t="s">
        <v>81</v>
      </c>
      <c r="Z282">
        <v>3</v>
      </c>
      <c r="AA282" t="s">
        <v>69</v>
      </c>
      <c r="AB282">
        <v>24</v>
      </c>
      <c r="AC282" t="s">
        <v>26</v>
      </c>
      <c r="AD282" t="s">
        <v>74</v>
      </c>
      <c r="AE282" t="s">
        <v>74</v>
      </c>
      <c r="AF282" s="3">
        <v>42826</v>
      </c>
      <c r="AG282">
        <v>3</v>
      </c>
      <c r="AH282">
        <f t="shared" ca="1" si="14"/>
        <v>0.42646087016719481</v>
      </c>
    </row>
    <row r="283" spans="1:34">
      <c r="A283">
        <v>282</v>
      </c>
      <c r="B283" t="s">
        <v>8</v>
      </c>
      <c r="C283">
        <v>2</v>
      </c>
      <c r="D283" t="s">
        <v>136</v>
      </c>
      <c r="E283" t="s">
        <v>81</v>
      </c>
      <c r="F283">
        <v>2</v>
      </c>
      <c r="G283" t="s">
        <v>82</v>
      </c>
      <c r="H283" t="s">
        <v>80</v>
      </c>
      <c r="I283" s="2">
        <v>0.5</v>
      </c>
      <c r="J283" t="s">
        <v>82</v>
      </c>
      <c r="K283" t="s">
        <v>79</v>
      </c>
      <c r="L283" t="s">
        <v>15</v>
      </c>
      <c r="M283">
        <v>0</v>
      </c>
      <c r="N283">
        <v>2</v>
      </c>
      <c r="O283" t="s">
        <v>136</v>
      </c>
      <c r="P283" t="s">
        <v>15</v>
      </c>
      <c r="Q283" s="1" t="s">
        <v>68</v>
      </c>
      <c r="R283" t="s">
        <v>68</v>
      </c>
      <c r="S283" t="e">
        <f>IF(T283="","",INDEX('Backing 4'!U:U,MATCH(T283,'Backing 4'!T:T,0)))</f>
        <v>#N/A</v>
      </c>
      <c r="T283" t="str">
        <f t="shared" si="12"/>
        <v xml:space="preserve"> Director &amp; Internal Services</v>
      </c>
      <c r="U283" t="s">
        <v>120</v>
      </c>
      <c r="V283" t="str">
        <f t="shared" si="13"/>
        <v xml:space="preserve"> Director</v>
      </c>
      <c r="W283">
        <v>3</v>
      </c>
      <c r="X283" t="str">
        <f>IF(E283="Y","",IF(Y283="Y",INDEX('Backing 2'!B:B,MATCH(D283,'Backing 2'!C:C,0)),D283))</f>
        <v xml:space="preserve"> Director</v>
      </c>
      <c r="Y283" t="s">
        <v>81</v>
      </c>
      <c r="Z283">
        <v>3</v>
      </c>
      <c r="AA283" t="s">
        <v>71</v>
      </c>
      <c r="AB283">
        <v>44</v>
      </c>
      <c r="AC283" t="s">
        <v>31</v>
      </c>
      <c r="AD283" t="s">
        <v>74</v>
      </c>
      <c r="AE283" t="s">
        <v>74</v>
      </c>
      <c r="AF283" s="3">
        <v>40634</v>
      </c>
      <c r="AG283">
        <v>9</v>
      </c>
      <c r="AH283">
        <f t="shared" ca="1" si="14"/>
        <v>4.147575253464475E-2</v>
      </c>
    </row>
    <row r="284" spans="1:34">
      <c r="A284">
        <v>283</v>
      </c>
      <c r="B284" t="s">
        <v>8</v>
      </c>
      <c r="C284">
        <v>6</v>
      </c>
      <c r="D284" t="s">
        <v>134</v>
      </c>
      <c r="E284" t="s">
        <v>81</v>
      </c>
      <c r="F284">
        <v>2</v>
      </c>
      <c r="G284" t="s">
        <v>82</v>
      </c>
      <c r="H284" t="s">
        <v>80</v>
      </c>
      <c r="I284" s="2">
        <v>0.5</v>
      </c>
      <c r="J284" t="s">
        <v>82</v>
      </c>
      <c r="K284" t="s">
        <v>79</v>
      </c>
      <c r="L284" t="s">
        <v>14</v>
      </c>
      <c r="M284">
        <v>0</v>
      </c>
      <c r="N284">
        <v>6</v>
      </c>
      <c r="O284" t="s">
        <v>134</v>
      </c>
      <c r="P284" t="s">
        <v>14</v>
      </c>
      <c r="Q284" s="1" t="s">
        <v>68</v>
      </c>
      <c r="R284" t="s">
        <v>68</v>
      </c>
      <c r="S284" t="e">
        <f>IF(T284="","",INDEX('Backing 4'!U:U,MATCH(T284,'Backing 4'!T:T,0)))</f>
        <v>#N/A</v>
      </c>
      <c r="T284" t="str">
        <f t="shared" si="12"/>
        <v xml:space="preserve"> Junior Officer &amp; Operations</v>
      </c>
      <c r="U284" t="e">
        <f>IF(V284="","",INDEX('Backing 4'!Z:Z,MATCH(V284,'Backing 4'!Y:Y,0)))</f>
        <v>#N/A</v>
      </c>
      <c r="V284" t="str">
        <f t="shared" si="13"/>
        <v xml:space="preserve"> Junior Officer</v>
      </c>
      <c r="W284">
        <v>2</v>
      </c>
      <c r="X284" t="str">
        <f>IF(E284="Y","",IF(Y284="Y",INDEX('Backing 2'!B:B,MATCH(D284,'Backing 2'!C:C,0)),D284))</f>
        <v xml:space="preserve"> Junior Officer</v>
      </c>
      <c r="Y284" t="s">
        <v>81</v>
      </c>
      <c r="Z284">
        <v>3</v>
      </c>
      <c r="AA284" t="s">
        <v>69</v>
      </c>
      <c r="AB284">
        <v>25</v>
      </c>
      <c r="AC284" t="s">
        <v>19</v>
      </c>
      <c r="AD284" t="s">
        <v>19</v>
      </c>
      <c r="AE284" t="s">
        <v>19</v>
      </c>
      <c r="AF284" s="3">
        <v>43191</v>
      </c>
      <c r="AG284">
        <v>2</v>
      </c>
      <c r="AH284">
        <f t="shared" ca="1" si="14"/>
        <v>0.97402762887243677</v>
      </c>
    </row>
    <row r="285" spans="1:34">
      <c r="A285">
        <v>284</v>
      </c>
      <c r="B285" t="s">
        <v>8</v>
      </c>
      <c r="C285">
        <v>6</v>
      </c>
      <c r="D285" t="s">
        <v>134</v>
      </c>
      <c r="E285" t="s">
        <v>81</v>
      </c>
      <c r="F285">
        <v>3</v>
      </c>
      <c r="G285" t="s">
        <v>82</v>
      </c>
      <c r="H285" t="s">
        <v>80</v>
      </c>
      <c r="I285" s="2">
        <v>0.5</v>
      </c>
      <c r="J285" t="s">
        <v>82</v>
      </c>
      <c r="K285" t="s">
        <v>79</v>
      </c>
      <c r="L285" t="s">
        <v>14</v>
      </c>
      <c r="M285">
        <v>0</v>
      </c>
      <c r="N285">
        <v>6</v>
      </c>
      <c r="O285" t="s">
        <v>134</v>
      </c>
      <c r="P285" t="s">
        <v>14</v>
      </c>
      <c r="Q285" s="1" t="s">
        <v>68</v>
      </c>
      <c r="R285" t="s">
        <v>68</v>
      </c>
      <c r="S285" t="e">
        <f>IF(T285="","",INDEX('Backing 4'!U:U,MATCH(T285,'Backing 4'!T:T,0)))</f>
        <v>#N/A</v>
      </c>
      <c r="T285" t="str">
        <f t="shared" si="12"/>
        <v xml:space="preserve"> Junior Officer &amp; Operations</v>
      </c>
      <c r="U285" t="e">
        <f>IF(V285="","",INDEX('Backing 4'!Z:Z,MATCH(V285,'Backing 4'!Y:Y,0)))</f>
        <v>#N/A</v>
      </c>
      <c r="V285" t="str">
        <f t="shared" si="13"/>
        <v xml:space="preserve"> Junior Officer</v>
      </c>
      <c r="W285">
        <v>3</v>
      </c>
      <c r="X285" t="str">
        <f>IF(E285="Y","",IF(Y285="Y",INDEX('Backing 2'!B:B,MATCH(D285,'Backing 2'!C:C,0)),D285))</f>
        <v xml:space="preserve"> Junior Officer</v>
      </c>
      <c r="Y285" t="s">
        <v>81</v>
      </c>
      <c r="Z285">
        <v>2</v>
      </c>
      <c r="AA285" t="s">
        <v>69</v>
      </c>
      <c r="AB285">
        <v>21</v>
      </c>
      <c r="AC285" t="s">
        <v>31</v>
      </c>
      <c r="AD285" t="s">
        <v>74</v>
      </c>
      <c r="AE285" t="s">
        <v>74</v>
      </c>
      <c r="AF285" s="3">
        <v>42826</v>
      </c>
      <c r="AG285">
        <v>3</v>
      </c>
      <c r="AH285">
        <f t="shared" ca="1" si="14"/>
        <v>0.99659794843436122</v>
      </c>
    </row>
    <row r="286" spans="1:34">
      <c r="A286">
        <v>285</v>
      </c>
      <c r="B286" t="s">
        <v>8</v>
      </c>
      <c r="C286">
        <v>6</v>
      </c>
      <c r="D286" t="s">
        <v>134</v>
      </c>
      <c r="E286" t="s">
        <v>81</v>
      </c>
      <c r="F286">
        <v>3</v>
      </c>
      <c r="G286" t="s">
        <v>82</v>
      </c>
      <c r="H286" t="s">
        <v>80</v>
      </c>
      <c r="I286" s="2">
        <v>0.5</v>
      </c>
      <c r="J286" t="s">
        <v>82</v>
      </c>
      <c r="K286" t="s">
        <v>79</v>
      </c>
      <c r="L286" t="s">
        <v>16</v>
      </c>
      <c r="M286">
        <v>0</v>
      </c>
      <c r="N286">
        <v>6</v>
      </c>
      <c r="O286" t="s">
        <v>134</v>
      </c>
      <c r="P286" t="s">
        <v>16</v>
      </c>
      <c r="Q286" s="1" t="s">
        <v>68</v>
      </c>
      <c r="R286" t="s">
        <v>68</v>
      </c>
      <c r="S286" t="e">
        <f>IF(T286="","",INDEX('Backing 4'!U:U,MATCH(T286,'Backing 4'!T:T,0)))</f>
        <v>#N/A</v>
      </c>
      <c r="T286" t="str">
        <f t="shared" si="12"/>
        <v xml:space="preserve"> Junior Officer &amp; Sales &amp; Marketing</v>
      </c>
      <c r="U286" t="e">
        <f>IF(V286="","",INDEX('Backing 4'!Z:Z,MATCH(V286,'Backing 4'!Y:Y,0)))</f>
        <v>#N/A</v>
      </c>
      <c r="V286" t="str">
        <f t="shared" si="13"/>
        <v xml:space="preserve"> Junior Officer</v>
      </c>
      <c r="W286">
        <v>2</v>
      </c>
      <c r="X286" t="str">
        <f>IF(E286="Y","",IF(Y286="Y",INDEX('Backing 2'!B:B,MATCH(D286,'Backing 2'!C:C,0)),D286))</f>
        <v xml:space="preserve"> Junior Officer</v>
      </c>
      <c r="Y286" t="s">
        <v>81</v>
      </c>
      <c r="Z286">
        <v>3</v>
      </c>
      <c r="AA286" t="s">
        <v>69</v>
      </c>
      <c r="AB286">
        <v>22</v>
      </c>
      <c r="AC286" t="s">
        <v>19</v>
      </c>
      <c r="AD286" t="s">
        <v>19</v>
      </c>
      <c r="AE286" t="s">
        <v>19</v>
      </c>
      <c r="AF286" s="3">
        <v>43191</v>
      </c>
      <c r="AG286">
        <v>2</v>
      </c>
      <c r="AH286">
        <f t="shared" ca="1" si="14"/>
        <v>0.56365550288699939</v>
      </c>
    </row>
    <row r="287" spans="1:34">
      <c r="A287">
        <v>286</v>
      </c>
      <c r="B287" t="s">
        <v>8</v>
      </c>
      <c r="C287">
        <v>4</v>
      </c>
      <c r="D287" t="s">
        <v>135</v>
      </c>
      <c r="E287" t="s">
        <v>81</v>
      </c>
      <c r="F287">
        <v>3</v>
      </c>
      <c r="G287" t="s">
        <v>82</v>
      </c>
      <c r="H287" t="s">
        <v>80</v>
      </c>
      <c r="I287" s="2">
        <v>0.5</v>
      </c>
      <c r="J287" t="s">
        <v>82</v>
      </c>
      <c r="K287" t="s">
        <v>79</v>
      </c>
      <c r="L287" t="s">
        <v>14</v>
      </c>
      <c r="M287">
        <v>0</v>
      </c>
      <c r="N287">
        <v>4</v>
      </c>
      <c r="O287" t="s">
        <v>135</v>
      </c>
      <c r="P287" t="s">
        <v>14</v>
      </c>
      <c r="Q287" s="1" t="s">
        <v>68</v>
      </c>
      <c r="R287" t="s">
        <v>68</v>
      </c>
      <c r="S287" t="e">
        <f>IF(T287="","",INDEX('Backing 4'!U:U,MATCH(T287,'Backing 4'!T:T,0)))</f>
        <v>#N/A</v>
      </c>
      <c r="T287" t="str">
        <f t="shared" si="12"/>
        <v xml:space="preserve"> Manager &amp; Operations</v>
      </c>
      <c r="U287" t="e">
        <f>IF(V287="","",INDEX('Backing 4'!Z:Z,MATCH(V287,'Backing 4'!Y:Y,0)))</f>
        <v>#N/A</v>
      </c>
      <c r="V287" t="str">
        <f t="shared" si="13"/>
        <v xml:space="preserve"> Manager</v>
      </c>
      <c r="W287">
        <v>1</v>
      </c>
      <c r="X287" t="e">
        <f>IF(E287="Y","",IF(Y287="Y",INDEX('Backing 2'!B:B,MATCH(D287,'Backing 2'!C:C,0)),D287))</f>
        <v>#N/A</v>
      </c>
      <c r="Y287" t="s">
        <v>79</v>
      </c>
      <c r="Z287">
        <v>2</v>
      </c>
      <c r="AA287" t="s">
        <v>70</v>
      </c>
      <c r="AB287">
        <v>30</v>
      </c>
      <c r="AC287" t="s">
        <v>30</v>
      </c>
      <c r="AD287" t="s">
        <v>74</v>
      </c>
      <c r="AE287" t="s">
        <v>74</v>
      </c>
      <c r="AF287" s="3">
        <v>43191</v>
      </c>
      <c r="AG287">
        <v>2</v>
      </c>
      <c r="AH287">
        <f t="shared" ca="1" si="14"/>
        <v>0.22601288827739463</v>
      </c>
    </row>
    <row r="288" spans="1:34">
      <c r="A288">
        <v>287</v>
      </c>
      <c r="B288" t="s">
        <v>7</v>
      </c>
      <c r="C288">
        <v>6</v>
      </c>
      <c r="D288" t="s">
        <v>134</v>
      </c>
      <c r="E288" t="s">
        <v>79</v>
      </c>
      <c r="F288">
        <v>0</v>
      </c>
      <c r="G288" t="s">
        <v>82</v>
      </c>
      <c r="H288" t="s">
        <v>82</v>
      </c>
      <c r="I288" s="2">
        <v>0.5</v>
      </c>
      <c r="J288" t="s">
        <v>82</v>
      </c>
      <c r="K288" t="s">
        <v>81</v>
      </c>
      <c r="L288" t="s">
        <v>15</v>
      </c>
      <c r="M288">
        <v>0</v>
      </c>
      <c r="N288">
        <v>6</v>
      </c>
      <c r="O288" t="s">
        <v>134</v>
      </c>
      <c r="P288" t="s">
        <v>15</v>
      </c>
      <c r="Q288" s="1">
        <v>0.7</v>
      </c>
      <c r="R288" t="s">
        <v>67</v>
      </c>
      <c r="S288" t="e">
        <f>IF(T288="","",INDEX('Backing 4'!U:U,MATCH(T288,'Backing 4'!T:T,0)))</f>
        <v>#N/A</v>
      </c>
      <c r="T288" t="str">
        <f t="shared" si="12"/>
        <v xml:space="preserve"> Junior Officer &amp; Internal Services</v>
      </c>
      <c r="U288" t="e">
        <f>IF(V288="","",INDEX('Backing 4'!Z:Z,MATCH(V288,'Backing 4'!Y:Y,0)))</f>
        <v>#N/A</v>
      </c>
      <c r="V288" t="str">
        <f t="shared" si="13"/>
        <v xml:space="preserve"> Junior Officer</v>
      </c>
      <c r="W288">
        <v>0</v>
      </c>
      <c r="X288" t="str">
        <f>IF(E288="Y","",IF(Y288="Y",INDEX('Backing 2'!B:B,MATCH(D288,'Backing 2'!C:C,0)),D288))</f>
        <v/>
      </c>
      <c r="Y288" t="s">
        <v>81</v>
      </c>
      <c r="Z288">
        <v>0</v>
      </c>
      <c r="AA288" t="s">
        <v>69</v>
      </c>
      <c r="AB288">
        <v>22</v>
      </c>
      <c r="AC288" t="s">
        <v>31</v>
      </c>
      <c r="AD288" t="s">
        <v>74</v>
      </c>
      <c r="AE288" t="s">
        <v>74</v>
      </c>
      <c r="AF288" s="3">
        <v>43922</v>
      </c>
      <c r="AG288">
        <v>0</v>
      </c>
      <c r="AH288">
        <f t="shared" ca="1" si="14"/>
        <v>0.16960051332849768</v>
      </c>
    </row>
    <row r="289" spans="1:34">
      <c r="A289">
        <v>288</v>
      </c>
      <c r="B289" t="s">
        <v>8</v>
      </c>
      <c r="C289">
        <v>5</v>
      </c>
      <c r="D289" t="s">
        <v>138</v>
      </c>
      <c r="E289" t="s">
        <v>81</v>
      </c>
      <c r="F289">
        <v>2</v>
      </c>
      <c r="G289" t="s">
        <v>82</v>
      </c>
      <c r="H289" t="s">
        <v>80</v>
      </c>
      <c r="I289" s="2">
        <v>0.5</v>
      </c>
      <c r="J289" t="s">
        <v>82</v>
      </c>
      <c r="K289" t="s">
        <v>79</v>
      </c>
      <c r="L289" t="s">
        <v>16</v>
      </c>
      <c r="M289">
        <v>0</v>
      </c>
      <c r="N289">
        <v>5</v>
      </c>
      <c r="O289" t="s">
        <v>138</v>
      </c>
      <c r="P289" t="s">
        <v>16</v>
      </c>
      <c r="Q289" s="1" t="s">
        <v>68</v>
      </c>
      <c r="R289" t="s">
        <v>68</v>
      </c>
      <c r="S289" t="e">
        <f>IF(T289="","",INDEX('Backing 4'!U:U,MATCH(T289,'Backing 4'!T:T,0)))</f>
        <v>#N/A</v>
      </c>
      <c r="T289" t="str">
        <f t="shared" si="12"/>
        <v xml:space="preserve"> Senior Officer &amp; Sales &amp; Marketing</v>
      </c>
      <c r="U289" t="e">
        <f>IF(V289="","",INDEX('Backing 4'!Z:Z,MATCH(V289,'Backing 4'!Y:Y,0)))</f>
        <v>#N/A</v>
      </c>
      <c r="V289" t="str">
        <f t="shared" si="13"/>
        <v xml:space="preserve"> Senior Officer</v>
      </c>
      <c r="W289">
        <v>3</v>
      </c>
      <c r="X289" t="str">
        <f>IF(E289="Y","",IF(Y289="Y",INDEX('Backing 2'!B:B,MATCH(D289,'Backing 2'!C:C,0)),D289))</f>
        <v xml:space="preserve"> Senior Officer</v>
      </c>
      <c r="Y289" t="s">
        <v>81</v>
      </c>
      <c r="Z289">
        <v>2</v>
      </c>
      <c r="AA289" t="s">
        <v>69</v>
      </c>
      <c r="AB289">
        <v>25</v>
      </c>
      <c r="AC289" t="s">
        <v>30</v>
      </c>
      <c r="AD289" t="s">
        <v>74</v>
      </c>
      <c r="AE289" t="s">
        <v>74</v>
      </c>
      <c r="AF289" s="3">
        <v>42461</v>
      </c>
      <c r="AG289">
        <v>4</v>
      </c>
      <c r="AH289">
        <f t="shared" ca="1" si="14"/>
        <v>0.5616360944054698</v>
      </c>
    </row>
    <row r="290" spans="1:34">
      <c r="A290">
        <v>289</v>
      </c>
      <c r="B290" t="s">
        <v>7</v>
      </c>
      <c r="C290">
        <v>5</v>
      </c>
      <c r="D290" t="s">
        <v>138</v>
      </c>
      <c r="E290" t="s">
        <v>81</v>
      </c>
      <c r="F290">
        <v>3</v>
      </c>
      <c r="G290" t="s">
        <v>82</v>
      </c>
      <c r="H290" t="s">
        <v>80</v>
      </c>
      <c r="I290" s="2">
        <v>0.5</v>
      </c>
      <c r="J290" t="s">
        <v>82</v>
      </c>
      <c r="K290" t="s">
        <v>79</v>
      </c>
      <c r="L290" t="s">
        <v>16</v>
      </c>
      <c r="M290">
        <v>0</v>
      </c>
      <c r="N290">
        <v>5</v>
      </c>
      <c r="O290" t="s">
        <v>138</v>
      </c>
      <c r="P290" t="s">
        <v>16</v>
      </c>
      <c r="Q290" s="1" t="s">
        <v>68</v>
      </c>
      <c r="R290" t="s">
        <v>68</v>
      </c>
      <c r="S290" t="e">
        <f>IF(T290="","",INDEX('Backing 4'!U:U,MATCH(T290,'Backing 4'!T:T,0)))</f>
        <v>#N/A</v>
      </c>
      <c r="T290" t="str">
        <f t="shared" si="12"/>
        <v xml:space="preserve"> Senior Officer &amp; Sales &amp; Marketing</v>
      </c>
      <c r="U290" t="e">
        <f>IF(V290="","",INDEX('Backing 4'!Z:Z,MATCH(V290,'Backing 4'!Y:Y,0)))</f>
        <v>#N/A</v>
      </c>
      <c r="V290" t="str">
        <f t="shared" si="13"/>
        <v xml:space="preserve"> Senior Officer</v>
      </c>
      <c r="W290">
        <v>3</v>
      </c>
      <c r="X290" t="str">
        <f>IF(E290="Y","",IF(Y290="Y",INDEX('Backing 2'!B:B,MATCH(D290,'Backing 2'!C:C,0)),D290))</f>
        <v xml:space="preserve"> Senior Officer</v>
      </c>
      <c r="Y290" t="s">
        <v>81</v>
      </c>
      <c r="Z290">
        <v>2</v>
      </c>
      <c r="AA290" t="s">
        <v>70</v>
      </c>
      <c r="AB290">
        <v>33</v>
      </c>
      <c r="AC290" t="s">
        <v>26</v>
      </c>
      <c r="AD290" t="s">
        <v>74</v>
      </c>
      <c r="AE290" t="s">
        <v>74</v>
      </c>
      <c r="AF290" s="3">
        <v>42461</v>
      </c>
      <c r="AG290">
        <v>4</v>
      </c>
      <c r="AH290">
        <f t="shared" ca="1" si="14"/>
        <v>0.59636957974863569</v>
      </c>
    </row>
    <row r="291" spans="1:34">
      <c r="A291">
        <v>290</v>
      </c>
      <c r="B291" t="s">
        <v>7</v>
      </c>
      <c r="C291">
        <v>6</v>
      </c>
      <c r="D291" t="s">
        <v>134</v>
      </c>
      <c r="E291" t="s">
        <v>81</v>
      </c>
      <c r="F291">
        <v>2</v>
      </c>
      <c r="G291" t="s">
        <v>82</v>
      </c>
      <c r="H291" t="s">
        <v>80</v>
      </c>
      <c r="I291" s="2">
        <v>0.5</v>
      </c>
      <c r="J291" t="s">
        <v>82</v>
      </c>
      <c r="K291" t="s">
        <v>79</v>
      </c>
      <c r="L291" t="s">
        <v>14</v>
      </c>
      <c r="M291">
        <v>0</v>
      </c>
      <c r="N291">
        <v>6</v>
      </c>
      <c r="O291" t="s">
        <v>134</v>
      </c>
      <c r="P291" t="s">
        <v>14</v>
      </c>
      <c r="Q291" s="1" t="s">
        <v>68</v>
      </c>
      <c r="R291" t="s">
        <v>68</v>
      </c>
      <c r="S291" t="e">
        <f>IF(T291="","",INDEX('Backing 4'!U:U,MATCH(T291,'Backing 4'!T:T,0)))</f>
        <v>#N/A</v>
      </c>
      <c r="T291" t="str">
        <f t="shared" si="12"/>
        <v xml:space="preserve"> Junior Officer &amp; Operations</v>
      </c>
      <c r="U291" t="e">
        <f>IF(V291="","",INDEX('Backing 4'!Z:Z,MATCH(V291,'Backing 4'!Y:Y,0)))</f>
        <v>#N/A</v>
      </c>
      <c r="V291" t="str">
        <f t="shared" si="13"/>
        <v xml:space="preserve"> Junior Officer</v>
      </c>
      <c r="W291">
        <v>2</v>
      </c>
      <c r="X291" t="str">
        <f>IF(E291="Y","",IF(Y291="Y",INDEX('Backing 2'!B:B,MATCH(D291,'Backing 2'!C:C,0)),D291))</f>
        <v xml:space="preserve"> Junior Officer</v>
      </c>
      <c r="Y291" t="s">
        <v>81</v>
      </c>
      <c r="Z291">
        <v>2</v>
      </c>
      <c r="AA291" t="s">
        <v>69</v>
      </c>
      <c r="AB291">
        <v>26</v>
      </c>
      <c r="AC291" t="s">
        <v>31</v>
      </c>
      <c r="AD291" t="s">
        <v>74</v>
      </c>
      <c r="AE291" t="s">
        <v>74</v>
      </c>
      <c r="AF291" s="3">
        <v>43191</v>
      </c>
      <c r="AG291">
        <v>2</v>
      </c>
      <c r="AH291">
        <f t="shared" ca="1" si="14"/>
        <v>0.72450728916298834</v>
      </c>
    </row>
    <row r="292" spans="1:34">
      <c r="A292">
        <v>291</v>
      </c>
      <c r="B292" t="s">
        <v>7</v>
      </c>
      <c r="C292">
        <v>4</v>
      </c>
      <c r="D292" t="s">
        <v>135</v>
      </c>
      <c r="E292" t="s">
        <v>81</v>
      </c>
      <c r="F292">
        <v>2</v>
      </c>
      <c r="G292" t="s">
        <v>82</v>
      </c>
      <c r="H292" t="s">
        <v>80</v>
      </c>
      <c r="I292" s="2">
        <v>0.5</v>
      </c>
      <c r="J292" t="s">
        <v>82</v>
      </c>
      <c r="K292" t="s">
        <v>79</v>
      </c>
      <c r="L292" t="s">
        <v>16</v>
      </c>
      <c r="M292">
        <v>0</v>
      </c>
      <c r="N292">
        <v>4</v>
      </c>
      <c r="O292" t="s">
        <v>135</v>
      </c>
      <c r="P292" t="s">
        <v>16</v>
      </c>
      <c r="Q292" s="1" t="s">
        <v>68</v>
      </c>
      <c r="R292" t="s">
        <v>68</v>
      </c>
      <c r="S292" t="e">
        <f>IF(T292="","",INDEX('Backing 4'!U:U,MATCH(T292,'Backing 4'!T:T,0)))</f>
        <v>#N/A</v>
      </c>
      <c r="T292" t="str">
        <f t="shared" si="12"/>
        <v xml:space="preserve"> Manager &amp; Sales &amp; Marketing</v>
      </c>
      <c r="U292" t="e">
        <f>IF(V292="","",INDEX('Backing 4'!Z:Z,MATCH(V292,'Backing 4'!Y:Y,0)))</f>
        <v>#N/A</v>
      </c>
      <c r="V292" t="str">
        <f t="shared" si="13"/>
        <v xml:space="preserve"> Manager</v>
      </c>
      <c r="W292">
        <v>3</v>
      </c>
      <c r="X292" t="str">
        <f>IF(E292="Y","",IF(Y292="Y",INDEX('Backing 2'!B:B,MATCH(D292,'Backing 2'!C:C,0)),D292))</f>
        <v xml:space="preserve"> Manager</v>
      </c>
      <c r="Y292" t="s">
        <v>81</v>
      </c>
      <c r="Z292">
        <v>3</v>
      </c>
      <c r="AA292" t="s">
        <v>70</v>
      </c>
      <c r="AB292">
        <v>38</v>
      </c>
      <c r="AC292" t="s">
        <v>33</v>
      </c>
      <c r="AD292" t="s">
        <v>74</v>
      </c>
      <c r="AE292" t="s">
        <v>74</v>
      </c>
      <c r="AF292" s="3">
        <v>41730</v>
      </c>
      <c r="AG292">
        <v>6</v>
      </c>
      <c r="AH292">
        <f t="shared" ca="1" si="14"/>
        <v>0.89960414418396717</v>
      </c>
    </row>
    <row r="293" spans="1:34">
      <c r="A293">
        <v>292</v>
      </c>
      <c r="B293" t="s">
        <v>8</v>
      </c>
      <c r="C293">
        <v>6</v>
      </c>
      <c r="D293" t="s">
        <v>134</v>
      </c>
      <c r="E293" t="s">
        <v>81</v>
      </c>
      <c r="F293">
        <v>3</v>
      </c>
      <c r="G293" t="s">
        <v>82</v>
      </c>
      <c r="H293" t="s">
        <v>80</v>
      </c>
      <c r="I293" s="2">
        <v>0.5</v>
      </c>
      <c r="J293" t="s">
        <v>82</v>
      </c>
      <c r="K293" t="s">
        <v>79</v>
      </c>
      <c r="L293" t="s">
        <v>16</v>
      </c>
      <c r="M293">
        <v>0</v>
      </c>
      <c r="N293">
        <v>6</v>
      </c>
      <c r="O293" t="s">
        <v>134</v>
      </c>
      <c r="P293" t="s">
        <v>16</v>
      </c>
      <c r="Q293" s="1" t="s">
        <v>68</v>
      </c>
      <c r="R293" t="s">
        <v>68</v>
      </c>
      <c r="S293" t="e">
        <f>IF(T293="","",INDEX('Backing 4'!U:U,MATCH(T293,'Backing 4'!T:T,0)))</f>
        <v>#N/A</v>
      </c>
      <c r="T293" t="str">
        <f t="shared" si="12"/>
        <v xml:space="preserve"> Junior Officer &amp; Sales &amp; Marketing</v>
      </c>
      <c r="U293" t="e">
        <f>IF(V293="","",INDEX('Backing 4'!Z:Z,MATCH(V293,'Backing 4'!Y:Y,0)))</f>
        <v>#N/A</v>
      </c>
      <c r="V293" t="str">
        <f t="shared" si="13"/>
        <v xml:space="preserve"> Junior Officer</v>
      </c>
      <c r="W293">
        <v>2</v>
      </c>
      <c r="X293" t="str">
        <f>IF(E293="Y","",IF(Y293="Y",INDEX('Backing 2'!B:B,MATCH(D293,'Backing 2'!C:C,0)),D293))</f>
        <v xml:space="preserve"> Junior Officer</v>
      </c>
      <c r="Y293" t="s">
        <v>81</v>
      </c>
      <c r="Z293">
        <v>3</v>
      </c>
      <c r="AA293" t="s">
        <v>69</v>
      </c>
      <c r="AB293">
        <v>22</v>
      </c>
      <c r="AC293" t="s">
        <v>31</v>
      </c>
      <c r="AD293" t="s">
        <v>74</v>
      </c>
      <c r="AE293" t="s">
        <v>74</v>
      </c>
      <c r="AF293" s="3">
        <v>43191</v>
      </c>
      <c r="AG293">
        <v>2</v>
      </c>
      <c r="AH293">
        <f t="shared" ca="1" si="14"/>
        <v>0.44812435942601225</v>
      </c>
    </row>
    <row r="294" spans="1:34">
      <c r="A294">
        <v>293</v>
      </c>
      <c r="B294" t="s">
        <v>7</v>
      </c>
      <c r="C294">
        <v>6</v>
      </c>
      <c r="D294" t="s">
        <v>134</v>
      </c>
      <c r="E294" t="s">
        <v>81</v>
      </c>
      <c r="F294">
        <v>2</v>
      </c>
      <c r="G294" t="s">
        <v>80</v>
      </c>
      <c r="H294" t="s">
        <v>80</v>
      </c>
      <c r="I294" s="2">
        <v>0.5</v>
      </c>
      <c r="J294" t="s">
        <v>82</v>
      </c>
      <c r="K294" t="s">
        <v>79</v>
      </c>
      <c r="L294" t="s">
        <v>15</v>
      </c>
      <c r="M294">
        <v>0</v>
      </c>
      <c r="N294">
        <v>5</v>
      </c>
      <c r="O294" t="s">
        <v>138</v>
      </c>
      <c r="P294" t="s">
        <v>15</v>
      </c>
      <c r="Q294" s="1">
        <v>0.6</v>
      </c>
      <c r="R294" t="s">
        <v>67</v>
      </c>
      <c r="S294" t="e">
        <f>IF(T294="","",INDEX('Backing 4'!U:U,MATCH(T294,'Backing 4'!T:T,0)))</f>
        <v>#N/A</v>
      </c>
      <c r="T294" t="str">
        <f t="shared" si="12"/>
        <v xml:space="preserve"> Junior Officer &amp; Internal Services</v>
      </c>
      <c r="U294" t="e">
        <f>IF(V294="","",INDEX('Backing 4'!Z:Z,MATCH(V294,'Backing 4'!Y:Y,0)))</f>
        <v>#N/A</v>
      </c>
      <c r="V294" t="str">
        <f t="shared" si="13"/>
        <v xml:space="preserve"> Junior Officer</v>
      </c>
      <c r="W294">
        <v>2</v>
      </c>
      <c r="X294" t="str">
        <f>IF(E294="Y","",IF(Y294="Y",INDEX('Backing 2'!B:B,MATCH(D294,'Backing 2'!C:C,0)),D294))</f>
        <v xml:space="preserve"> Junior Officer</v>
      </c>
      <c r="Y294" t="s">
        <v>81</v>
      </c>
      <c r="Z294">
        <v>2</v>
      </c>
      <c r="AA294" t="s">
        <v>70</v>
      </c>
      <c r="AB294">
        <v>33</v>
      </c>
      <c r="AC294" t="s">
        <v>31</v>
      </c>
      <c r="AD294" t="s">
        <v>74</v>
      </c>
      <c r="AE294" t="s">
        <v>74</v>
      </c>
      <c r="AF294" s="3">
        <v>43191</v>
      </c>
      <c r="AG294">
        <v>2</v>
      </c>
      <c r="AH294">
        <f t="shared" ca="1" si="14"/>
        <v>0.56237265096402744</v>
      </c>
    </row>
    <row r="295" spans="1:34">
      <c r="A295">
        <v>294</v>
      </c>
      <c r="B295" t="s">
        <v>7</v>
      </c>
      <c r="C295">
        <v>4</v>
      </c>
      <c r="D295" t="s">
        <v>135</v>
      </c>
      <c r="E295" t="s">
        <v>79</v>
      </c>
      <c r="F295">
        <v>0</v>
      </c>
      <c r="G295" t="s">
        <v>82</v>
      </c>
      <c r="H295" t="s">
        <v>82</v>
      </c>
      <c r="I295" s="2">
        <v>0.5</v>
      </c>
      <c r="J295" t="s">
        <v>82</v>
      </c>
      <c r="K295" t="s">
        <v>81</v>
      </c>
      <c r="L295" t="s">
        <v>14</v>
      </c>
      <c r="M295">
        <v>0</v>
      </c>
      <c r="N295">
        <v>4</v>
      </c>
      <c r="O295" t="s">
        <v>135</v>
      </c>
      <c r="P295" t="s">
        <v>14</v>
      </c>
      <c r="Q295" s="1" t="s">
        <v>68</v>
      </c>
      <c r="R295" t="s">
        <v>68</v>
      </c>
      <c r="S295" t="e">
        <f>IF(T295="","",INDEX('Backing 4'!U:U,MATCH(T295,'Backing 4'!T:T,0)))</f>
        <v>#N/A</v>
      </c>
      <c r="T295" t="str">
        <f t="shared" si="12"/>
        <v xml:space="preserve"> Manager &amp; Operations</v>
      </c>
      <c r="U295" t="e">
        <f>IF(V295="","",INDEX('Backing 4'!Z:Z,MATCH(V295,'Backing 4'!Y:Y,0)))</f>
        <v>#N/A</v>
      </c>
      <c r="V295" t="str">
        <f t="shared" si="13"/>
        <v xml:space="preserve"> Manager</v>
      </c>
      <c r="W295">
        <v>0</v>
      </c>
      <c r="X295" t="str">
        <f>IF(E295="Y","",IF(Y295="Y",INDEX('Backing 2'!B:B,MATCH(D295,'Backing 2'!C:C,0)),D295))</f>
        <v/>
      </c>
      <c r="Y295" t="s">
        <v>81</v>
      </c>
      <c r="Z295">
        <v>0</v>
      </c>
      <c r="AA295" t="s">
        <v>70</v>
      </c>
      <c r="AB295">
        <v>34</v>
      </c>
      <c r="AC295" t="s">
        <v>19</v>
      </c>
      <c r="AD295" t="s">
        <v>19</v>
      </c>
      <c r="AE295" t="s">
        <v>19</v>
      </c>
      <c r="AF295" s="3">
        <v>43922</v>
      </c>
      <c r="AG295">
        <v>0</v>
      </c>
      <c r="AH295">
        <f t="shared" ca="1" si="14"/>
        <v>0.16330029218845565</v>
      </c>
    </row>
    <row r="296" spans="1:34">
      <c r="A296">
        <v>295</v>
      </c>
      <c r="B296" t="s">
        <v>7</v>
      </c>
      <c r="C296">
        <v>5</v>
      </c>
      <c r="D296" t="s">
        <v>138</v>
      </c>
      <c r="E296" t="s">
        <v>81</v>
      </c>
      <c r="F296">
        <v>2</v>
      </c>
      <c r="G296" t="s">
        <v>82</v>
      </c>
      <c r="H296" t="s">
        <v>80</v>
      </c>
      <c r="I296" s="2">
        <v>0.5</v>
      </c>
      <c r="J296" t="s">
        <v>82</v>
      </c>
      <c r="K296" t="s">
        <v>79</v>
      </c>
      <c r="L296" t="s">
        <v>14</v>
      </c>
      <c r="M296">
        <v>0</v>
      </c>
      <c r="N296">
        <v>5</v>
      </c>
      <c r="O296" t="s">
        <v>138</v>
      </c>
      <c r="P296" t="s">
        <v>14</v>
      </c>
      <c r="Q296" s="1" t="s">
        <v>68</v>
      </c>
      <c r="R296" t="s">
        <v>68</v>
      </c>
      <c r="S296" t="e">
        <f>IF(T296="","",INDEX('Backing 4'!U:U,MATCH(T296,'Backing 4'!T:T,0)))</f>
        <v>#N/A</v>
      </c>
      <c r="T296" t="str">
        <f t="shared" si="12"/>
        <v xml:space="preserve"> Senior Officer &amp; Operations</v>
      </c>
      <c r="U296" t="e">
        <f>IF(V296="","",INDEX('Backing 4'!Z:Z,MATCH(V296,'Backing 4'!Y:Y,0)))</f>
        <v>#N/A</v>
      </c>
      <c r="V296" t="str">
        <f t="shared" si="13"/>
        <v xml:space="preserve"> Senior Officer</v>
      </c>
      <c r="W296">
        <v>3</v>
      </c>
      <c r="X296" t="str">
        <f>IF(E296="Y","",IF(Y296="Y",INDEX('Backing 2'!B:B,MATCH(D296,'Backing 2'!C:C,0)),D296))</f>
        <v xml:space="preserve"> Senior Officer</v>
      </c>
      <c r="Y296" t="s">
        <v>81</v>
      </c>
      <c r="Z296">
        <v>3</v>
      </c>
      <c r="AA296" t="s">
        <v>69</v>
      </c>
      <c r="AB296">
        <v>28</v>
      </c>
      <c r="AC296" t="s">
        <v>19</v>
      </c>
      <c r="AD296" t="s">
        <v>19</v>
      </c>
      <c r="AE296" t="s">
        <v>19</v>
      </c>
      <c r="AF296" s="3">
        <v>41000</v>
      </c>
      <c r="AG296">
        <v>8</v>
      </c>
      <c r="AH296">
        <f t="shared" ca="1" si="14"/>
        <v>0.68764037928185728</v>
      </c>
    </row>
    <row r="297" spans="1:34">
      <c r="A297">
        <v>296</v>
      </c>
      <c r="B297" t="s">
        <v>8</v>
      </c>
      <c r="C297">
        <v>6</v>
      </c>
      <c r="D297" t="s">
        <v>134</v>
      </c>
      <c r="E297" t="s">
        <v>81</v>
      </c>
      <c r="F297">
        <v>3</v>
      </c>
      <c r="G297" t="s">
        <v>82</v>
      </c>
      <c r="H297" t="s">
        <v>80</v>
      </c>
      <c r="I297" s="2">
        <v>0.5</v>
      </c>
      <c r="J297" t="s">
        <v>82</v>
      </c>
      <c r="K297" t="s">
        <v>79</v>
      </c>
      <c r="L297" t="s">
        <v>16</v>
      </c>
      <c r="M297">
        <v>0</v>
      </c>
      <c r="N297">
        <v>6</v>
      </c>
      <c r="O297" t="s">
        <v>134</v>
      </c>
      <c r="P297" t="s">
        <v>16</v>
      </c>
      <c r="Q297" s="1" t="s">
        <v>68</v>
      </c>
      <c r="R297" t="s">
        <v>68</v>
      </c>
      <c r="S297" t="e">
        <f>IF(T297="","",INDEX('Backing 4'!U:U,MATCH(T297,'Backing 4'!T:T,0)))</f>
        <v>#N/A</v>
      </c>
      <c r="T297" t="str">
        <f t="shared" si="12"/>
        <v xml:space="preserve"> Junior Officer &amp; Sales &amp; Marketing</v>
      </c>
      <c r="U297" t="e">
        <f>IF(V297="","",INDEX('Backing 4'!Z:Z,MATCH(V297,'Backing 4'!Y:Y,0)))</f>
        <v>#N/A</v>
      </c>
      <c r="V297" t="str">
        <f t="shared" si="13"/>
        <v xml:space="preserve"> Junior Officer</v>
      </c>
      <c r="W297">
        <v>2</v>
      </c>
      <c r="X297" t="str">
        <f>IF(E297="Y","",IF(Y297="Y",INDEX('Backing 2'!B:B,MATCH(D297,'Backing 2'!C:C,0)),D297))</f>
        <v xml:space="preserve"> Junior Officer</v>
      </c>
      <c r="Y297" t="s">
        <v>81</v>
      </c>
      <c r="Z297">
        <v>3</v>
      </c>
      <c r="AA297" t="s">
        <v>69</v>
      </c>
      <c r="AB297">
        <v>25</v>
      </c>
      <c r="AC297" t="s">
        <v>32</v>
      </c>
      <c r="AD297" t="s">
        <v>74</v>
      </c>
      <c r="AE297" t="s">
        <v>74</v>
      </c>
      <c r="AF297" s="3">
        <v>43191</v>
      </c>
      <c r="AG297">
        <v>2</v>
      </c>
      <c r="AH297">
        <f t="shared" ca="1" si="14"/>
        <v>0.51357966268341593</v>
      </c>
    </row>
    <row r="298" spans="1:34">
      <c r="A298">
        <v>297</v>
      </c>
      <c r="B298" t="s">
        <v>8</v>
      </c>
      <c r="C298">
        <v>6</v>
      </c>
      <c r="D298" t="s">
        <v>134</v>
      </c>
      <c r="E298" t="s">
        <v>81</v>
      </c>
      <c r="F298">
        <v>3</v>
      </c>
      <c r="G298" t="s">
        <v>82</v>
      </c>
      <c r="H298" t="s">
        <v>80</v>
      </c>
      <c r="I298" s="2">
        <v>0.5</v>
      </c>
      <c r="J298" t="s">
        <v>82</v>
      </c>
      <c r="K298" t="s">
        <v>79</v>
      </c>
      <c r="L298" t="s">
        <v>16</v>
      </c>
      <c r="M298">
        <v>0</v>
      </c>
      <c r="N298">
        <v>6</v>
      </c>
      <c r="O298" t="s">
        <v>134</v>
      </c>
      <c r="P298" t="s">
        <v>16</v>
      </c>
      <c r="Q298" s="1" t="s">
        <v>68</v>
      </c>
      <c r="R298" t="s">
        <v>68</v>
      </c>
      <c r="S298" t="e">
        <f>IF(T298="","",INDEX('Backing 4'!U:U,MATCH(T298,'Backing 4'!T:T,0)))</f>
        <v>#N/A</v>
      </c>
      <c r="T298" t="str">
        <f t="shared" si="12"/>
        <v xml:space="preserve"> Junior Officer &amp; Sales &amp; Marketing</v>
      </c>
      <c r="U298" t="e">
        <f>IF(V298="","",INDEX('Backing 4'!Z:Z,MATCH(V298,'Backing 4'!Y:Y,0)))</f>
        <v>#N/A</v>
      </c>
      <c r="V298" t="str">
        <f t="shared" si="13"/>
        <v xml:space="preserve"> Junior Officer</v>
      </c>
      <c r="W298">
        <v>2</v>
      </c>
      <c r="X298" t="str">
        <f>IF(E298="Y","",IF(Y298="Y",INDEX('Backing 2'!B:B,MATCH(D298,'Backing 2'!C:C,0)),D298))</f>
        <v xml:space="preserve"> Junior Officer</v>
      </c>
      <c r="Y298" t="s">
        <v>81</v>
      </c>
      <c r="Z298">
        <v>3</v>
      </c>
      <c r="AA298" t="s">
        <v>69</v>
      </c>
      <c r="AB298">
        <v>24</v>
      </c>
      <c r="AC298" t="s">
        <v>19</v>
      </c>
      <c r="AD298" t="s">
        <v>19</v>
      </c>
      <c r="AE298" t="s">
        <v>19</v>
      </c>
      <c r="AF298" s="3">
        <v>43191</v>
      </c>
      <c r="AG298">
        <v>2</v>
      </c>
      <c r="AH298">
        <f t="shared" ca="1" si="14"/>
        <v>0.81378633592890015</v>
      </c>
    </row>
    <row r="299" spans="1:34">
      <c r="A299">
        <v>298</v>
      </c>
      <c r="B299" t="s">
        <v>7</v>
      </c>
      <c r="C299">
        <v>3</v>
      </c>
      <c r="D299" t="s">
        <v>137</v>
      </c>
      <c r="E299" t="s">
        <v>81</v>
      </c>
      <c r="F299">
        <v>4</v>
      </c>
      <c r="G299" t="s">
        <v>82</v>
      </c>
      <c r="H299" t="s">
        <v>80</v>
      </c>
      <c r="I299" s="2">
        <v>0.5</v>
      </c>
      <c r="J299" t="s">
        <v>82</v>
      </c>
      <c r="K299" t="s">
        <v>79</v>
      </c>
      <c r="L299" t="s">
        <v>14</v>
      </c>
      <c r="M299">
        <v>0</v>
      </c>
      <c r="N299">
        <v>3</v>
      </c>
      <c r="O299" t="s">
        <v>137</v>
      </c>
      <c r="P299" t="s">
        <v>14</v>
      </c>
      <c r="Q299" s="1" t="s">
        <v>68</v>
      </c>
      <c r="R299" t="s">
        <v>68</v>
      </c>
      <c r="S299" t="e">
        <f>IF(T299="","",INDEX('Backing 4'!U:U,MATCH(T299,'Backing 4'!T:T,0)))</f>
        <v>#N/A</v>
      </c>
      <c r="T299" t="str">
        <f t="shared" si="12"/>
        <v xml:space="preserve"> Senior Manager &amp; Operations</v>
      </c>
      <c r="U299" t="e">
        <f>IF(V299="","",INDEX('Backing 4'!Z:Z,MATCH(V299,'Backing 4'!Y:Y,0)))</f>
        <v>#N/A</v>
      </c>
      <c r="V299" t="str">
        <f t="shared" si="13"/>
        <v xml:space="preserve"> Senior Manager</v>
      </c>
      <c r="W299">
        <v>2</v>
      </c>
      <c r="X299" t="str">
        <f>IF(E299="Y","",IF(Y299="Y",INDEX('Backing 2'!B:B,MATCH(D299,'Backing 2'!C:C,0)),D299))</f>
        <v xml:space="preserve"> Senior Manager</v>
      </c>
      <c r="Y299" t="s">
        <v>81</v>
      </c>
      <c r="Z299">
        <v>3</v>
      </c>
      <c r="AA299" t="s">
        <v>71</v>
      </c>
      <c r="AB299">
        <v>41</v>
      </c>
      <c r="AC299" t="s">
        <v>19</v>
      </c>
      <c r="AD299" t="s">
        <v>19</v>
      </c>
      <c r="AE299" t="s">
        <v>19</v>
      </c>
      <c r="AF299" s="3">
        <v>40634</v>
      </c>
      <c r="AG299">
        <v>9</v>
      </c>
      <c r="AH299">
        <f t="shared" ca="1" si="14"/>
        <v>0.87492003702620791</v>
      </c>
    </row>
    <row r="300" spans="1:34">
      <c r="A300">
        <v>299</v>
      </c>
      <c r="B300" t="s">
        <v>8</v>
      </c>
      <c r="C300">
        <v>6</v>
      </c>
      <c r="D300" t="s">
        <v>134</v>
      </c>
      <c r="E300" t="s">
        <v>81</v>
      </c>
      <c r="F300">
        <v>3</v>
      </c>
      <c r="G300" t="s">
        <v>80</v>
      </c>
      <c r="H300" t="s">
        <v>80</v>
      </c>
      <c r="I300" s="2">
        <v>0.5</v>
      </c>
      <c r="J300" t="s">
        <v>82</v>
      </c>
      <c r="K300" t="s">
        <v>79</v>
      </c>
      <c r="L300" t="s">
        <v>16</v>
      </c>
      <c r="M300">
        <v>0</v>
      </c>
      <c r="N300">
        <v>5</v>
      </c>
      <c r="O300" t="s">
        <v>138</v>
      </c>
      <c r="P300" t="s">
        <v>16</v>
      </c>
      <c r="Q300" s="1" t="s">
        <v>68</v>
      </c>
      <c r="R300" t="s">
        <v>68</v>
      </c>
      <c r="S300" t="e">
        <f>IF(T300="","",INDEX('Backing 4'!U:U,MATCH(T300,'Backing 4'!T:T,0)))</f>
        <v>#N/A</v>
      </c>
      <c r="T300" t="str">
        <f t="shared" si="12"/>
        <v xml:space="preserve"> Junior Officer &amp; Sales &amp; Marketing</v>
      </c>
      <c r="U300" t="e">
        <f>IF(V300="","",INDEX('Backing 4'!Z:Z,MATCH(V300,'Backing 4'!Y:Y,0)))</f>
        <v>#N/A</v>
      </c>
      <c r="V300" t="str">
        <f t="shared" si="13"/>
        <v xml:space="preserve"> Junior Officer</v>
      </c>
      <c r="W300">
        <v>3</v>
      </c>
      <c r="X300" t="str">
        <f>IF(E300="Y","",IF(Y300="Y",INDEX('Backing 2'!B:B,MATCH(D300,'Backing 2'!C:C,0)),D300))</f>
        <v xml:space="preserve"> Junior Officer</v>
      </c>
      <c r="Y300" t="s">
        <v>81</v>
      </c>
      <c r="Z300">
        <v>2</v>
      </c>
      <c r="AA300" t="s">
        <v>69</v>
      </c>
      <c r="AB300">
        <v>24</v>
      </c>
      <c r="AC300" t="s">
        <v>19</v>
      </c>
      <c r="AD300" t="s">
        <v>19</v>
      </c>
      <c r="AE300" t="s">
        <v>19</v>
      </c>
      <c r="AF300" s="3">
        <v>42826</v>
      </c>
      <c r="AG300">
        <v>3</v>
      </c>
      <c r="AH300">
        <f t="shared" ca="1" si="14"/>
        <v>2.1989060101989977E-2</v>
      </c>
    </row>
    <row r="301" spans="1:34">
      <c r="A301">
        <v>300</v>
      </c>
      <c r="B301" t="s">
        <v>8</v>
      </c>
      <c r="C301">
        <v>4</v>
      </c>
      <c r="D301" t="s">
        <v>135</v>
      </c>
      <c r="E301" t="s">
        <v>81</v>
      </c>
      <c r="F301">
        <v>3</v>
      </c>
      <c r="G301" t="s">
        <v>82</v>
      </c>
      <c r="H301" t="s">
        <v>80</v>
      </c>
      <c r="I301" s="2">
        <v>0.5</v>
      </c>
      <c r="J301" t="s">
        <v>82</v>
      </c>
      <c r="K301" t="s">
        <v>79</v>
      </c>
      <c r="L301" t="s">
        <v>14</v>
      </c>
      <c r="M301">
        <v>0</v>
      </c>
      <c r="N301">
        <v>4</v>
      </c>
      <c r="O301" t="s">
        <v>135</v>
      </c>
      <c r="P301" t="s">
        <v>14</v>
      </c>
      <c r="Q301" s="1" t="s">
        <v>68</v>
      </c>
      <c r="R301" t="s">
        <v>68</v>
      </c>
      <c r="S301" t="e">
        <f>IF(T301="","",INDEX('Backing 4'!U:U,MATCH(T301,'Backing 4'!T:T,0)))</f>
        <v>#N/A</v>
      </c>
      <c r="T301" t="str">
        <f t="shared" si="12"/>
        <v xml:space="preserve"> Manager &amp; Operations</v>
      </c>
      <c r="U301" t="e">
        <f>IF(V301="","",INDEX('Backing 4'!Z:Z,MATCH(V301,'Backing 4'!Y:Y,0)))</f>
        <v>#N/A</v>
      </c>
      <c r="V301" t="str">
        <f t="shared" si="13"/>
        <v xml:space="preserve"> Manager</v>
      </c>
      <c r="W301">
        <v>2</v>
      </c>
      <c r="X301" t="str">
        <f>IF(E301="Y","",IF(Y301="Y",INDEX('Backing 2'!B:B,MATCH(D301,'Backing 2'!C:C,0)),D301))</f>
        <v xml:space="preserve"> Manager</v>
      </c>
      <c r="Y301" t="s">
        <v>81</v>
      </c>
      <c r="Z301">
        <v>3</v>
      </c>
      <c r="AA301" t="s">
        <v>70</v>
      </c>
      <c r="AB301">
        <v>32</v>
      </c>
      <c r="AC301" t="s">
        <v>31</v>
      </c>
      <c r="AD301" t="s">
        <v>74</v>
      </c>
      <c r="AE301" t="s">
        <v>74</v>
      </c>
      <c r="AF301" s="3">
        <v>42461</v>
      </c>
      <c r="AG301">
        <v>4</v>
      </c>
      <c r="AH301">
        <f t="shared" ca="1" si="14"/>
        <v>0.75493097585604507</v>
      </c>
    </row>
    <row r="302" spans="1:34">
      <c r="A302">
        <v>301</v>
      </c>
      <c r="B302" t="s">
        <v>7</v>
      </c>
      <c r="C302">
        <v>6</v>
      </c>
      <c r="D302" t="s">
        <v>134</v>
      </c>
      <c r="E302" t="s">
        <v>81</v>
      </c>
      <c r="F302">
        <v>3</v>
      </c>
      <c r="G302" t="s">
        <v>82</v>
      </c>
      <c r="H302" t="s">
        <v>80</v>
      </c>
      <c r="I302" s="2">
        <v>0.5</v>
      </c>
      <c r="J302" t="s">
        <v>82</v>
      </c>
      <c r="K302" t="s">
        <v>79</v>
      </c>
      <c r="L302" t="s">
        <v>14</v>
      </c>
      <c r="M302">
        <v>0</v>
      </c>
      <c r="N302">
        <v>6</v>
      </c>
      <c r="O302" t="s">
        <v>134</v>
      </c>
      <c r="P302" t="s">
        <v>14</v>
      </c>
      <c r="Q302" s="1" t="s">
        <v>68</v>
      </c>
      <c r="R302" t="s">
        <v>68</v>
      </c>
      <c r="S302" t="e">
        <f>IF(T302="","",INDEX('Backing 4'!U:U,MATCH(T302,'Backing 4'!T:T,0)))</f>
        <v>#N/A</v>
      </c>
      <c r="T302" t="str">
        <f t="shared" si="12"/>
        <v xml:space="preserve"> Junior Officer &amp; Operations</v>
      </c>
      <c r="U302" t="e">
        <f>IF(V302="","",INDEX('Backing 4'!Z:Z,MATCH(V302,'Backing 4'!Y:Y,0)))</f>
        <v>#N/A</v>
      </c>
      <c r="V302" t="str">
        <f t="shared" si="13"/>
        <v xml:space="preserve"> Junior Officer</v>
      </c>
      <c r="W302">
        <v>2</v>
      </c>
      <c r="X302" t="str">
        <f>IF(E302="Y","",IF(Y302="Y",INDEX('Backing 2'!B:B,MATCH(D302,'Backing 2'!C:C,0)),D302))</f>
        <v xml:space="preserve"> Junior Officer</v>
      </c>
      <c r="Y302" t="s">
        <v>81</v>
      </c>
      <c r="Z302">
        <v>3</v>
      </c>
      <c r="AA302" t="s">
        <v>69</v>
      </c>
      <c r="AB302">
        <v>25</v>
      </c>
      <c r="AC302" t="s">
        <v>19</v>
      </c>
      <c r="AD302" t="s">
        <v>19</v>
      </c>
      <c r="AE302" t="s">
        <v>19</v>
      </c>
      <c r="AF302" s="3">
        <v>43191</v>
      </c>
      <c r="AG302">
        <v>2</v>
      </c>
      <c r="AH302">
        <f t="shared" ca="1" si="14"/>
        <v>0.51131620411451806</v>
      </c>
    </row>
    <row r="303" spans="1:34">
      <c r="A303">
        <v>302</v>
      </c>
      <c r="B303" t="s">
        <v>7</v>
      </c>
      <c r="C303">
        <v>6</v>
      </c>
      <c r="D303" t="s">
        <v>134</v>
      </c>
      <c r="E303" t="s">
        <v>81</v>
      </c>
      <c r="F303">
        <v>2</v>
      </c>
      <c r="G303" t="s">
        <v>82</v>
      </c>
      <c r="H303" t="s">
        <v>80</v>
      </c>
      <c r="I303" s="2">
        <v>0.5</v>
      </c>
      <c r="J303" t="s">
        <v>82</v>
      </c>
      <c r="K303" t="s">
        <v>79</v>
      </c>
      <c r="L303" t="s">
        <v>15</v>
      </c>
      <c r="M303">
        <v>0</v>
      </c>
      <c r="N303">
        <v>6</v>
      </c>
      <c r="O303" t="s">
        <v>134</v>
      </c>
      <c r="P303" t="s">
        <v>15</v>
      </c>
      <c r="Q303" s="1" t="s">
        <v>68</v>
      </c>
      <c r="R303" t="s">
        <v>68</v>
      </c>
      <c r="S303" t="e">
        <f>IF(T303="","",INDEX('Backing 4'!U:U,MATCH(T303,'Backing 4'!T:T,0)))</f>
        <v>#N/A</v>
      </c>
      <c r="T303" t="str">
        <f t="shared" si="12"/>
        <v xml:space="preserve"> Junior Officer &amp; Internal Services</v>
      </c>
      <c r="U303" t="e">
        <f>IF(V303="","",INDEX('Backing 4'!Z:Z,MATCH(V303,'Backing 4'!Y:Y,0)))</f>
        <v>#N/A</v>
      </c>
      <c r="V303" t="str">
        <f t="shared" si="13"/>
        <v xml:space="preserve"> Junior Officer</v>
      </c>
      <c r="W303">
        <v>2</v>
      </c>
      <c r="X303" t="str">
        <f>IF(E303="Y","",IF(Y303="Y",INDEX('Backing 2'!B:B,MATCH(D303,'Backing 2'!C:C,0)),D303))</f>
        <v xml:space="preserve"> Junior Officer</v>
      </c>
      <c r="Y303" t="s">
        <v>81</v>
      </c>
      <c r="Z303">
        <v>3</v>
      </c>
      <c r="AA303" t="s">
        <v>69</v>
      </c>
      <c r="AB303">
        <v>26</v>
      </c>
      <c r="AC303" t="s">
        <v>19</v>
      </c>
      <c r="AD303" t="s">
        <v>19</v>
      </c>
      <c r="AE303" t="s">
        <v>19</v>
      </c>
      <c r="AF303" s="3">
        <v>43191</v>
      </c>
      <c r="AG303">
        <v>2</v>
      </c>
      <c r="AH303">
        <f t="shared" ca="1" si="14"/>
        <v>0.17958398854507607</v>
      </c>
    </row>
    <row r="304" spans="1:34">
      <c r="A304">
        <v>303</v>
      </c>
      <c r="B304" t="s">
        <v>8</v>
      </c>
      <c r="C304">
        <v>4</v>
      </c>
      <c r="D304" t="s">
        <v>135</v>
      </c>
      <c r="E304" t="s">
        <v>79</v>
      </c>
      <c r="F304">
        <v>0</v>
      </c>
      <c r="G304" t="s">
        <v>82</v>
      </c>
      <c r="H304" t="s">
        <v>82</v>
      </c>
      <c r="I304" s="2">
        <v>0.5</v>
      </c>
      <c r="J304" t="s">
        <v>82</v>
      </c>
      <c r="K304" t="s">
        <v>81</v>
      </c>
      <c r="L304" t="s">
        <v>14</v>
      </c>
      <c r="M304">
        <v>0</v>
      </c>
      <c r="N304">
        <v>4</v>
      </c>
      <c r="O304" t="s">
        <v>135</v>
      </c>
      <c r="P304" t="s">
        <v>14</v>
      </c>
      <c r="Q304" s="1" t="s">
        <v>68</v>
      </c>
      <c r="R304" t="s">
        <v>68</v>
      </c>
      <c r="S304" t="e">
        <f>IF(T304="","",INDEX('Backing 4'!U:U,MATCH(T304,'Backing 4'!T:T,0)))</f>
        <v>#N/A</v>
      </c>
      <c r="T304" t="str">
        <f t="shared" si="12"/>
        <v xml:space="preserve"> Manager &amp; Operations</v>
      </c>
      <c r="U304" t="e">
        <f>IF(V304="","",INDEX('Backing 4'!Z:Z,MATCH(V304,'Backing 4'!Y:Y,0)))</f>
        <v>#N/A</v>
      </c>
      <c r="V304" t="str">
        <f t="shared" si="13"/>
        <v xml:space="preserve"> Manager</v>
      </c>
      <c r="W304">
        <v>0</v>
      </c>
      <c r="X304" t="str">
        <f>IF(E304="Y","",IF(Y304="Y",INDEX('Backing 2'!B:B,MATCH(D304,'Backing 2'!C:C,0)),D304))</f>
        <v/>
      </c>
      <c r="Y304" t="s">
        <v>81</v>
      </c>
      <c r="Z304">
        <v>0</v>
      </c>
      <c r="AA304" t="s">
        <v>70</v>
      </c>
      <c r="AB304">
        <v>34</v>
      </c>
      <c r="AC304" t="s">
        <v>19</v>
      </c>
      <c r="AD304" t="s">
        <v>19</v>
      </c>
      <c r="AE304" t="s">
        <v>19</v>
      </c>
      <c r="AF304" s="3">
        <v>43922</v>
      </c>
      <c r="AG304">
        <v>0</v>
      </c>
      <c r="AH304">
        <f t="shared" ca="1" si="14"/>
        <v>0.4040649372706574</v>
      </c>
    </row>
    <row r="305" spans="1:34">
      <c r="A305">
        <v>304</v>
      </c>
      <c r="B305" t="s">
        <v>7</v>
      </c>
      <c r="C305">
        <v>3</v>
      </c>
      <c r="D305" t="s">
        <v>137</v>
      </c>
      <c r="E305" t="s">
        <v>81</v>
      </c>
      <c r="F305">
        <v>2</v>
      </c>
      <c r="G305" t="s">
        <v>82</v>
      </c>
      <c r="H305" t="s">
        <v>80</v>
      </c>
      <c r="I305" s="2">
        <v>0.5</v>
      </c>
      <c r="J305" t="s">
        <v>82</v>
      </c>
      <c r="K305" t="s">
        <v>79</v>
      </c>
      <c r="L305" t="s">
        <v>14</v>
      </c>
      <c r="M305">
        <v>0</v>
      </c>
      <c r="N305">
        <v>3</v>
      </c>
      <c r="O305" t="s">
        <v>137</v>
      </c>
      <c r="P305" t="s">
        <v>14</v>
      </c>
      <c r="Q305" s="1" t="s">
        <v>68</v>
      </c>
      <c r="R305" t="s">
        <v>68</v>
      </c>
      <c r="S305" t="e">
        <f>IF(T305="","",INDEX('Backing 4'!U:U,MATCH(T305,'Backing 4'!T:T,0)))</f>
        <v>#N/A</v>
      </c>
      <c r="T305" t="str">
        <f t="shared" si="12"/>
        <v xml:space="preserve"> Senior Manager &amp; Operations</v>
      </c>
      <c r="U305" t="e">
        <f>IF(V305="","",INDEX('Backing 4'!Z:Z,MATCH(V305,'Backing 4'!Y:Y,0)))</f>
        <v>#N/A</v>
      </c>
      <c r="V305" t="str">
        <f t="shared" si="13"/>
        <v xml:space="preserve"> Senior Manager</v>
      </c>
      <c r="W305">
        <v>4</v>
      </c>
      <c r="X305" t="str">
        <f>IF(E305="Y","",IF(Y305="Y",INDEX('Backing 2'!B:B,MATCH(D305,'Backing 2'!C:C,0)),D305))</f>
        <v xml:space="preserve"> Senior Manager</v>
      </c>
      <c r="Y305" t="s">
        <v>81</v>
      </c>
      <c r="Z305">
        <v>3</v>
      </c>
      <c r="AA305" t="s">
        <v>72</v>
      </c>
      <c r="AB305">
        <v>50</v>
      </c>
      <c r="AC305" t="s">
        <v>39</v>
      </c>
      <c r="AD305" t="s">
        <v>74</v>
      </c>
      <c r="AE305" t="s">
        <v>74</v>
      </c>
      <c r="AF305" s="3">
        <v>41000</v>
      </c>
      <c r="AG305">
        <v>8</v>
      </c>
      <c r="AH305">
        <f t="shared" ca="1" si="14"/>
        <v>0.38216190155535135</v>
      </c>
    </row>
    <row r="306" spans="1:34">
      <c r="A306">
        <v>305</v>
      </c>
      <c r="B306" t="s">
        <v>8</v>
      </c>
      <c r="C306">
        <v>6</v>
      </c>
      <c r="D306" t="s">
        <v>134</v>
      </c>
      <c r="E306" t="s">
        <v>81</v>
      </c>
      <c r="F306">
        <v>2</v>
      </c>
      <c r="G306" t="s">
        <v>80</v>
      </c>
      <c r="H306" t="s">
        <v>80</v>
      </c>
      <c r="I306" s="2">
        <v>0.5</v>
      </c>
      <c r="J306" t="s">
        <v>82</v>
      </c>
      <c r="K306" t="s">
        <v>79</v>
      </c>
      <c r="L306" t="s">
        <v>16</v>
      </c>
      <c r="M306">
        <v>0</v>
      </c>
      <c r="N306">
        <v>5</v>
      </c>
      <c r="O306" t="s">
        <v>138</v>
      </c>
      <c r="P306" t="s">
        <v>16</v>
      </c>
      <c r="Q306" s="1" t="s">
        <v>68</v>
      </c>
      <c r="R306" t="s">
        <v>68</v>
      </c>
      <c r="S306" t="e">
        <f>IF(T306="","",INDEX('Backing 4'!U:U,MATCH(T306,'Backing 4'!T:T,0)))</f>
        <v>#N/A</v>
      </c>
      <c r="T306" t="str">
        <f t="shared" si="12"/>
        <v xml:space="preserve"> Junior Officer &amp; Sales &amp; Marketing</v>
      </c>
      <c r="U306" t="e">
        <f>IF(V306="","",INDEX('Backing 4'!Z:Z,MATCH(V306,'Backing 4'!Y:Y,0)))</f>
        <v>#N/A</v>
      </c>
      <c r="V306" t="str">
        <f t="shared" si="13"/>
        <v xml:space="preserve"> Junior Officer</v>
      </c>
      <c r="W306">
        <v>2</v>
      </c>
      <c r="X306" t="str">
        <f>IF(E306="Y","",IF(Y306="Y",INDEX('Backing 2'!B:B,MATCH(D306,'Backing 2'!C:C,0)),D306))</f>
        <v xml:space="preserve"> Junior Officer</v>
      </c>
      <c r="Y306" t="s">
        <v>81</v>
      </c>
      <c r="Z306">
        <v>3</v>
      </c>
      <c r="AA306" t="s">
        <v>69</v>
      </c>
      <c r="AB306">
        <v>28</v>
      </c>
      <c r="AC306" t="s">
        <v>26</v>
      </c>
      <c r="AD306" t="s">
        <v>74</v>
      </c>
      <c r="AE306" t="s">
        <v>74</v>
      </c>
      <c r="AF306" s="3">
        <v>43191</v>
      </c>
      <c r="AG306">
        <v>2</v>
      </c>
      <c r="AH306">
        <f t="shared" ca="1" si="14"/>
        <v>0.8143605990712971</v>
      </c>
    </row>
    <row r="307" spans="1:34">
      <c r="A307">
        <v>306</v>
      </c>
      <c r="B307" t="s">
        <v>7</v>
      </c>
      <c r="C307">
        <v>6</v>
      </c>
      <c r="D307" t="s">
        <v>134</v>
      </c>
      <c r="E307" t="s">
        <v>81</v>
      </c>
      <c r="F307">
        <v>3</v>
      </c>
      <c r="G307" t="s">
        <v>82</v>
      </c>
      <c r="H307" t="s">
        <v>80</v>
      </c>
      <c r="I307" s="2">
        <v>0.5</v>
      </c>
      <c r="J307" t="s">
        <v>82</v>
      </c>
      <c r="K307" t="s">
        <v>79</v>
      </c>
      <c r="L307" t="s">
        <v>14</v>
      </c>
      <c r="M307">
        <v>0</v>
      </c>
      <c r="N307">
        <v>6</v>
      </c>
      <c r="O307" t="s">
        <v>134</v>
      </c>
      <c r="P307" t="s">
        <v>14</v>
      </c>
      <c r="Q307" s="1" t="s">
        <v>68</v>
      </c>
      <c r="R307" t="s">
        <v>68</v>
      </c>
      <c r="S307" t="e">
        <f>IF(T307="","",INDEX('Backing 4'!U:U,MATCH(T307,'Backing 4'!T:T,0)))</f>
        <v>#N/A</v>
      </c>
      <c r="T307" t="str">
        <f t="shared" si="12"/>
        <v xml:space="preserve"> Junior Officer &amp; Operations</v>
      </c>
      <c r="U307" t="e">
        <f>IF(V307="","",INDEX('Backing 4'!Z:Z,MATCH(V307,'Backing 4'!Y:Y,0)))</f>
        <v>#N/A</v>
      </c>
      <c r="V307" t="str">
        <f t="shared" si="13"/>
        <v xml:space="preserve"> Junior Officer</v>
      </c>
      <c r="W307">
        <v>1</v>
      </c>
      <c r="X307" t="str">
        <f>IF(E307="Y","",IF(Y307="Y",INDEX('Backing 2'!B:B,MATCH(D307,'Backing 2'!C:C,0)),D307))</f>
        <v xml:space="preserve"> Junior Officer</v>
      </c>
      <c r="Y307" t="s">
        <v>81</v>
      </c>
      <c r="Z307">
        <v>0</v>
      </c>
      <c r="AA307" t="s">
        <v>69</v>
      </c>
      <c r="AB307">
        <v>26</v>
      </c>
      <c r="AC307" t="s">
        <v>19</v>
      </c>
      <c r="AD307" t="s">
        <v>19</v>
      </c>
      <c r="AE307" t="s">
        <v>19</v>
      </c>
      <c r="AF307" s="3">
        <v>43556</v>
      </c>
      <c r="AG307">
        <v>1</v>
      </c>
      <c r="AH307">
        <f t="shared" ca="1" si="14"/>
        <v>0.57112478617093998</v>
      </c>
    </row>
    <row r="308" spans="1:34">
      <c r="A308">
        <v>307</v>
      </c>
      <c r="B308" t="s">
        <v>8</v>
      </c>
      <c r="C308">
        <v>6</v>
      </c>
      <c r="D308" t="s">
        <v>134</v>
      </c>
      <c r="E308" t="s">
        <v>81</v>
      </c>
      <c r="F308">
        <v>3</v>
      </c>
      <c r="G308" t="s">
        <v>82</v>
      </c>
      <c r="H308" t="s">
        <v>80</v>
      </c>
      <c r="I308" s="2">
        <v>0.5</v>
      </c>
      <c r="J308" t="s">
        <v>82</v>
      </c>
      <c r="K308" t="s">
        <v>79</v>
      </c>
      <c r="L308" t="s">
        <v>14</v>
      </c>
      <c r="M308">
        <v>0</v>
      </c>
      <c r="N308">
        <v>6</v>
      </c>
      <c r="O308" t="s">
        <v>134</v>
      </c>
      <c r="P308" t="s">
        <v>14</v>
      </c>
      <c r="Q308" s="1" t="s">
        <v>68</v>
      </c>
      <c r="R308" t="s">
        <v>68</v>
      </c>
      <c r="S308" t="e">
        <f>IF(T308="","",INDEX('Backing 4'!U:U,MATCH(T308,'Backing 4'!T:T,0)))</f>
        <v>#N/A</v>
      </c>
      <c r="T308" t="str">
        <f t="shared" si="12"/>
        <v xml:space="preserve"> Junior Officer &amp; Operations</v>
      </c>
      <c r="U308" t="e">
        <f>IF(V308="","",INDEX('Backing 4'!Z:Z,MATCH(V308,'Backing 4'!Y:Y,0)))</f>
        <v>#N/A</v>
      </c>
      <c r="V308" t="str">
        <f t="shared" si="13"/>
        <v xml:space="preserve"> Junior Officer</v>
      </c>
      <c r="W308">
        <v>1</v>
      </c>
      <c r="X308" t="str">
        <f>IF(E308="Y","",IF(Y308="Y",INDEX('Backing 2'!B:B,MATCH(D308,'Backing 2'!C:C,0)),D308))</f>
        <v xml:space="preserve"> Junior Officer</v>
      </c>
      <c r="Y308" t="s">
        <v>81</v>
      </c>
      <c r="Z308">
        <v>0</v>
      </c>
      <c r="AA308" t="s">
        <v>69</v>
      </c>
      <c r="AB308">
        <v>25</v>
      </c>
      <c r="AC308" t="s">
        <v>19</v>
      </c>
      <c r="AD308" t="s">
        <v>19</v>
      </c>
      <c r="AE308" t="s">
        <v>19</v>
      </c>
      <c r="AF308" s="3">
        <v>43556</v>
      </c>
      <c r="AG308">
        <v>1</v>
      </c>
      <c r="AH308">
        <f t="shared" ca="1" si="14"/>
        <v>0.57171068054151397</v>
      </c>
    </row>
    <row r="309" spans="1:34">
      <c r="A309">
        <v>308</v>
      </c>
      <c r="B309" t="s">
        <v>7</v>
      </c>
      <c r="C309">
        <v>5</v>
      </c>
      <c r="D309" t="s">
        <v>138</v>
      </c>
      <c r="E309" t="s">
        <v>79</v>
      </c>
      <c r="F309">
        <v>0</v>
      </c>
      <c r="G309" t="s">
        <v>82</v>
      </c>
      <c r="H309" t="s">
        <v>82</v>
      </c>
      <c r="I309" s="2">
        <v>0.5</v>
      </c>
      <c r="J309" t="s">
        <v>82</v>
      </c>
      <c r="K309" t="s">
        <v>81</v>
      </c>
      <c r="L309" t="s">
        <v>16</v>
      </c>
      <c r="M309">
        <v>0</v>
      </c>
      <c r="N309">
        <v>5</v>
      </c>
      <c r="O309" t="s">
        <v>138</v>
      </c>
      <c r="P309" t="s">
        <v>16</v>
      </c>
      <c r="Q309" s="1" t="s">
        <v>68</v>
      </c>
      <c r="R309" t="s">
        <v>68</v>
      </c>
      <c r="S309" t="e">
        <f>IF(T309="","",INDEX('Backing 4'!U:U,MATCH(T309,'Backing 4'!T:T,0)))</f>
        <v>#N/A</v>
      </c>
      <c r="T309" t="str">
        <f t="shared" si="12"/>
        <v xml:space="preserve"> Senior Officer &amp; Sales &amp; Marketing</v>
      </c>
      <c r="U309" t="e">
        <f>IF(V309="","",INDEX('Backing 4'!Z:Z,MATCH(V309,'Backing 4'!Y:Y,0)))</f>
        <v>#N/A</v>
      </c>
      <c r="V309" t="str">
        <f t="shared" si="13"/>
        <v xml:space="preserve"> Senior Officer</v>
      </c>
      <c r="W309">
        <v>0</v>
      </c>
      <c r="X309" t="str">
        <f>IF(E309="Y","",IF(Y309="Y",INDEX('Backing 2'!B:B,MATCH(D309,'Backing 2'!C:C,0)),D309))</f>
        <v/>
      </c>
      <c r="Y309" t="s">
        <v>81</v>
      </c>
      <c r="Z309">
        <v>0</v>
      </c>
      <c r="AA309" t="s">
        <v>70</v>
      </c>
      <c r="AB309">
        <v>30</v>
      </c>
      <c r="AC309" t="s">
        <v>19</v>
      </c>
      <c r="AD309" t="s">
        <v>19</v>
      </c>
      <c r="AE309" t="s">
        <v>19</v>
      </c>
      <c r="AF309" s="3">
        <v>43922</v>
      </c>
      <c r="AG309">
        <v>0</v>
      </c>
      <c r="AH309">
        <f t="shared" ca="1" si="14"/>
        <v>0.77393444517618148</v>
      </c>
    </row>
    <row r="310" spans="1:34">
      <c r="A310">
        <v>309</v>
      </c>
      <c r="B310" t="s">
        <v>8</v>
      </c>
      <c r="C310">
        <v>4</v>
      </c>
      <c r="D310" s="4" t="s">
        <v>135</v>
      </c>
      <c r="E310" t="s">
        <v>81</v>
      </c>
      <c r="F310">
        <v>3</v>
      </c>
      <c r="G310" t="s">
        <v>82</v>
      </c>
      <c r="H310" t="s">
        <v>82</v>
      </c>
      <c r="I310" s="2">
        <v>0.5</v>
      </c>
      <c r="J310" t="s">
        <v>80</v>
      </c>
      <c r="K310" t="s">
        <v>79</v>
      </c>
      <c r="L310" t="s">
        <v>16</v>
      </c>
      <c r="M310" t="s">
        <v>83</v>
      </c>
      <c r="N310">
        <v>0</v>
      </c>
      <c r="O310" t="s">
        <v>142</v>
      </c>
      <c r="P310" t="s">
        <v>16</v>
      </c>
      <c r="Q310" s="1" t="s">
        <v>68</v>
      </c>
      <c r="R310" t="s">
        <v>68</v>
      </c>
      <c r="S310" t="e">
        <f>IF(T310="","",INDEX('Backing 4'!U:U,MATCH(T310,'Backing 4'!T:T,0)))</f>
        <v>#N/A</v>
      </c>
      <c r="T310" t="str">
        <f t="shared" si="12"/>
        <v xml:space="preserve"> Manager &amp; Sales &amp; Marketing</v>
      </c>
      <c r="U310" t="e">
        <f>IF(V310="","",INDEX('Backing 4'!Z:Z,MATCH(V310,'Backing 4'!Y:Y,0)))</f>
        <v>#N/A</v>
      </c>
      <c r="V310" t="str">
        <f t="shared" si="13"/>
        <v xml:space="preserve"> Manager</v>
      </c>
      <c r="W310">
        <v>3</v>
      </c>
      <c r="X310" t="str">
        <f>IF(E310="Y","",IF(Y310="Y",INDEX('Backing 2'!B:B,MATCH(D310,'Backing 2'!C:C,0)),D310))</f>
        <v xml:space="preserve"> Manager</v>
      </c>
      <c r="Y310" t="s">
        <v>81</v>
      </c>
      <c r="Z310">
        <v>4</v>
      </c>
      <c r="AA310" t="s">
        <v>71</v>
      </c>
      <c r="AB310">
        <v>46</v>
      </c>
      <c r="AC310" t="s">
        <v>19</v>
      </c>
      <c r="AD310" t="s">
        <v>19</v>
      </c>
      <c r="AE310" t="s">
        <v>19</v>
      </c>
      <c r="AF310" s="3">
        <v>41365</v>
      </c>
      <c r="AG310">
        <v>7</v>
      </c>
      <c r="AH310">
        <f t="shared" ca="1" si="14"/>
        <v>0.59760616712100101</v>
      </c>
    </row>
    <row r="311" spans="1:34">
      <c r="A311">
        <v>310</v>
      </c>
      <c r="B311" t="s">
        <v>7</v>
      </c>
      <c r="C311">
        <v>4</v>
      </c>
      <c r="D311" t="s">
        <v>135</v>
      </c>
      <c r="E311" t="s">
        <v>79</v>
      </c>
      <c r="F311">
        <v>0</v>
      </c>
      <c r="G311" t="s">
        <v>82</v>
      </c>
      <c r="H311" t="s">
        <v>82</v>
      </c>
      <c r="I311" s="2">
        <v>0.5</v>
      </c>
      <c r="J311" t="s">
        <v>82</v>
      </c>
      <c r="K311" t="s">
        <v>81</v>
      </c>
      <c r="L311" t="s">
        <v>14</v>
      </c>
      <c r="M311">
        <v>0</v>
      </c>
      <c r="N311">
        <v>4</v>
      </c>
      <c r="O311" t="s">
        <v>135</v>
      </c>
      <c r="P311" t="s">
        <v>14</v>
      </c>
      <c r="Q311" s="1" t="s">
        <v>68</v>
      </c>
      <c r="R311" t="s">
        <v>68</v>
      </c>
      <c r="S311" t="e">
        <f>IF(T311="","",INDEX('Backing 4'!U:U,MATCH(T311,'Backing 4'!T:T,0)))</f>
        <v>#N/A</v>
      </c>
      <c r="T311" t="str">
        <f t="shared" si="12"/>
        <v xml:space="preserve"> Manager &amp; Operations</v>
      </c>
      <c r="U311" t="e">
        <f>IF(V311="","",INDEX('Backing 4'!Z:Z,MATCH(V311,'Backing 4'!Y:Y,0)))</f>
        <v>#N/A</v>
      </c>
      <c r="V311" t="str">
        <f t="shared" si="13"/>
        <v xml:space="preserve"> Manager</v>
      </c>
      <c r="W311">
        <v>0</v>
      </c>
      <c r="X311" t="str">
        <f>IF(E311="Y","",IF(Y311="Y",INDEX('Backing 2'!B:B,MATCH(D311,'Backing 2'!C:C,0)),D311))</f>
        <v/>
      </c>
      <c r="Y311" t="s">
        <v>81</v>
      </c>
      <c r="Z311">
        <v>0</v>
      </c>
      <c r="AA311" t="s">
        <v>70</v>
      </c>
      <c r="AB311">
        <v>37</v>
      </c>
      <c r="AC311" t="s">
        <v>30</v>
      </c>
      <c r="AD311" t="s">
        <v>74</v>
      </c>
      <c r="AE311" t="s">
        <v>74</v>
      </c>
      <c r="AF311" s="3">
        <v>43922</v>
      </c>
      <c r="AG311">
        <v>0</v>
      </c>
      <c r="AH311">
        <f t="shared" ca="1" si="14"/>
        <v>0.80927067233059113</v>
      </c>
    </row>
    <row r="312" spans="1:34">
      <c r="A312">
        <v>311</v>
      </c>
      <c r="B312" t="s">
        <v>7</v>
      </c>
      <c r="C312">
        <v>6</v>
      </c>
      <c r="D312" t="s">
        <v>134</v>
      </c>
      <c r="E312" t="s">
        <v>81</v>
      </c>
      <c r="F312">
        <v>2</v>
      </c>
      <c r="G312" t="s">
        <v>82</v>
      </c>
      <c r="H312" t="s">
        <v>80</v>
      </c>
      <c r="I312" s="2">
        <v>0.5</v>
      </c>
      <c r="J312" t="s">
        <v>82</v>
      </c>
      <c r="K312" t="s">
        <v>79</v>
      </c>
      <c r="L312" t="s">
        <v>14</v>
      </c>
      <c r="M312">
        <v>0</v>
      </c>
      <c r="N312">
        <v>6</v>
      </c>
      <c r="O312" t="s">
        <v>134</v>
      </c>
      <c r="P312" t="s">
        <v>14</v>
      </c>
      <c r="Q312" s="1" t="s">
        <v>68</v>
      </c>
      <c r="R312" t="s">
        <v>68</v>
      </c>
      <c r="S312" t="e">
        <f>IF(T312="","",INDEX('Backing 4'!U:U,MATCH(T312,'Backing 4'!T:T,0)))</f>
        <v>#N/A</v>
      </c>
      <c r="T312" t="str">
        <f t="shared" si="12"/>
        <v xml:space="preserve"> Junior Officer &amp; Operations</v>
      </c>
      <c r="U312" t="e">
        <f>IF(V312="","",INDEX('Backing 4'!Z:Z,MATCH(V312,'Backing 4'!Y:Y,0)))</f>
        <v>#N/A</v>
      </c>
      <c r="V312" t="str">
        <f t="shared" si="13"/>
        <v xml:space="preserve"> Junior Officer</v>
      </c>
      <c r="W312">
        <v>3</v>
      </c>
      <c r="X312" t="str">
        <f>IF(E312="Y","",IF(Y312="Y",INDEX('Backing 2'!B:B,MATCH(D312,'Backing 2'!C:C,0)),D312))</f>
        <v xml:space="preserve"> Junior Officer</v>
      </c>
      <c r="Y312" t="s">
        <v>81</v>
      </c>
      <c r="Z312">
        <v>4</v>
      </c>
      <c r="AA312" t="s">
        <v>69</v>
      </c>
      <c r="AB312">
        <v>22</v>
      </c>
      <c r="AC312" t="s">
        <v>26</v>
      </c>
      <c r="AD312" t="s">
        <v>74</v>
      </c>
      <c r="AE312" t="s">
        <v>74</v>
      </c>
      <c r="AF312" s="3">
        <v>42826</v>
      </c>
      <c r="AG312">
        <v>3</v>
      </c>
      <c r="AH312">
        <f t="shared" ca="1" si="14"/>
        <v>0.28996269016989007</v>
      </c>
    </row>
    <row r="313" spans="1:34">
      <c r="A313">
        <v>312</v>
      </c>
      <c r="B313" t="s">
        <v>7</v>
      </c>
      <c r="C313">
        <v>5</v>
      </c>
      <c r="D313" t="s">
        <v>138</v>
      </c>
      <c r="E313" t="s">
        <v>81</v>
      </c>
      <c r="F313">
        <v>2</v>
      </c>
      <c r="G313" t="s">
        <v>82</v>
      </c>
      <c r="H313" t="s">
        <v>80</v>
      </c>
      <c r="I313" s="2">
        <v>0.5</v>
      </c>
      <c r="J313" t="s">
        <v>82</v>
      </c>
      <c r="K313" t="s">
        <v>79</v>
      </c>
      <c r="L313" t="s">
        <v>14</v>
      </c>
      <c r="M313">
        <v>0</v>
      </c>
      <c r="N313">
        <v>5</v>
      </c>
      <c r="O313" t="s">
        <v>138</v>
      </c>
      <c r="P313" t="s">
        <v>14</v>
      </c>
      <c r="Q313" s="1" t="s">
        <v>68</v>
      </c>
      <c r="R313" t="s">
        <v>68</v>
      </c>
      <c r="S313" t="e">
        <f>IF(T313="","",INDEX('Backing 4'!U:U,MATCH(T313,'Backing 4'!T:T,0)))</f>
        <v>#N/A</v>
      </c>
      <c r="T313" t="str">
        <f t="shared" si="12"/>
        <v xml:space="preserve"> Senior Officer &amp; Operations</v>
      </c>
      <c r="U313" t="e">
        <f>IF(V313="","",INDEX('Backing 4'!Z:Z,MATCH(V313,'Backing 4'!Y:Y,0)))</f>
        <v>#N/A</v>
      </c>
      <c r="V313" t="str">
        <f t="shared" si="13"/>
        <v xml:space="preserve"> Senior Officer</v>
      </c>
      <c r="W313">
        <v>4</v>
      </c>
      <c r="X313" t="str">
        <f>IF(E313="Y","",IF(Y313="Y",INDEX('Backing 2'!B:B,MATCH(D313,'Backing 2'!C:C,0)),D313))</f>
        <v xml:space="preserve"> Senior Officer</v>
      </c>
      <c r="Y313" t="s">
        <v>81</v>
      </c>
      <c r="Z313">
        <v>3</v>
      </c>
      <c r="AA313" t="s">
        <v>70</v>
      </c>
      <c r="AB313">
        <v>34</v>
      </c>
      <c r="AC313" t="s">
        <v>30</v>
      </c>
      <c r="AD313" t="s">
        <v>74</v>
      </c>
      <c r="AE313" t="s">
        <v>74</v>
      </c>
      <c r="AF313" s="3">
        <v>41000</v>
      </c>
      <c r="AG313">
        <v>8</v>
      </c>
      <c r="AH313">
        <f t="shared" ca="1" si="14"/>
        <v>0.51765368947301349</v>
      </c>
    </row>
    <row r="314" spans="1:34">
      <c r="A314">
        <v>313</v>
      </c>
      <c r="B314" t="s">
        <v>8</v>
      </c>
      <c r="C314">
        <v>6</v>
      </c>
      <c r="D314" t="s">
        <v>134</v>
      </c>
      <c r="E314" t="s">
        <v>81</v>
      </c>
      <c r="F314">
        <v>2</v>
      </c>
      <c r="G314" t="s">
        <v>82</v>
      </c>
      <c r="H314" t="s">
        <v>80</v>
      </c>
      <c r="I314" s="2">
        <v>0.5</v>
      </c>
      <c r="J314" t="s">
        <v>82</v>
      </c>
      <c r="K314" t="s">
        <v>79</v>
      </c>
      <c r="L314" t="s">
        <v>14</v>
      </c>
      <c r="M314">
        <v>0</v>
      </c>
      <c r="N314">
        <v>6</v>
      </c>
      <c r="O314" t="s">
        <v>134</v>
      </c>
      <c r="P314" t="s">
        <v>14</v>
      </c>
      <c r="Q314" s="1" t="s">
        <v>68</v>
      </c>
      <c r="R314" t="s">
        <v>68</v>
      </c>
      <c r="S314" t="e">
        <f>IF(T314="","",INDEX('Backing 4'!U:U,MATCH(T314,'Backing 4'!T:T,0)))</f>
        <v>#N/A</v>
      </c>
      <c r="T314" t="str">
        <f t="shared" si="12"/>
        <v xml:space="preserve"> Junior Officer &amp; Operations</v>
      </c>
      <c r="U314" t="e">
        <f>IF(V314="","",INDEX('Backing 4'!Z:Z,MATCH(V314,'Backing 4'!Y:Y,0)))</f>
        <v>#N/A</v>
      </c>
      <c r="V314" t="str">
        <f t="shared" si="13"/>
        <v xml:space="preserve"> Junior Officer</v>
      </c>
      <c r="W314">
        <v>2</v>
      </c>
      <c r="X314" t="str">
        <f>IF(E314="Y","",IF(Y314="Y",INDEX('Backing 2'!B:B,MATCH(D314,'Backing 2'!C:C,0)),D314))</f>
        <v xml:space="preserve"> Junior Officer</v>
      </c>
      <c r="Y314" t="s">
        <v>81</v>
      </c>
      <c r="Z314">
        <v>3</v>
      </c>
      <c r="AA314" t="s">
        <v>69</v>
      </c>
      <c r="AB314">
        <v>22</v>
      </c>
      <c r="AC314" t="s">
        <v>31</v>
      </c>
      <c r="AD314" t="s">
        <v>74</v>
      </c>
      <c r="AE314" t="s">
        <v>74</v>
      </c>
      <c r="AF314" s="3">
        <v>43191</v>
      </c>
      <c r="AG314">
        <v>2</v>
      </c>
      <c r="AH314">
        <f t="shared" ca="1" si="14"/>
        <v>0.58987797199681324</v>
      </c>
    </row>
    <row r="315" spans="1:34">
      <c r="A315">
        <v>314</v>
      </c>
      <c r="B315" t="s">
        <v>7</v>
      </c>
      <c r="C315">
        <v>6</v>
      </c>
      <c r="D315" t="s">
        <v>134</v>
      </c>
      <c r="E315" t="s">
        <v>79</v>
      </c>
      <c r="F315">
        <v>0</v>
      </c>
      <c r="G315" t="s">
        <v>82</v>
      </c>
      <c r="H315" t="s">
        <v>82</v>
      </c>
      <c r="I315" s="2">
        <v>0.5</v>
      </c>
      <c r="J315" t="s">
        <v>82</v>
      </c>
      <c r="K315" t="s">
        <v>81</v>
      </c>
      <c r="L315" t="s">
        <v>14</v>
      </c>
      <c r="M315">
        <v>0</v>
      </c>
      <c r="N315">
        <v>6</v>
      </c>
      <c r="O315" t="s">
        <v>134</v>
      </c>
      <c r="P315" t="s">
        <v>14</v>
      </c>
      <c r="Q315" s="1" t="s">
        <v>68</v>
      </c>
      <c r="R315" t="s">
        <v>68</v>
      </c>
      <c r="S315" t="e">
        <f>IF(T315="","",INDEX('Backing 4'!U:U,MATCH(T315,'Backing 4'!T:T,0)))</f>
        <v>#N/A</v>
      </c>
      <c r="T315" t="str">
        <f t="shared" si="12"/>
        <v xml:space="preserve"> Junior Officer &amp; Operations</v>
      </c>
      <c r="U315" t="e">
        <f>IF(V315="","",INDEX('Backing 4'!Z:Z,MATCH(V315,'Backing 4'!Y:Y,0)))</f>
        <v>#N/A</v>
      </c>
      <c r="V315" t="str">
        <f t="shared" si="13"/>
        <v xml:space="preserve"> Junior Officer</v>
      </c>
      <c r="W315">
        <v>0</v>
      </c>
      <c r="X315" t="str">
        <f>IF(E315="Y","",IF(Y315="Y",INDEX('Backing 2'!B:B,MATCH(D315,'Backing 2'!C:C,0)),D315))</f>
        <v/>
      </c>
      <c r="Y315" t="s">
        <v>81</v>
      </c>
      <c r="Z315">
        <v>0</v>
      </c>
      <c r="AA315" t="s">
        <v>69</v>
      </c>
      <c r="AB315">
        <v>24</v>
      </c>
      <c r="AC315" t="s">
        <v>31</v>
      </c>
      <c r="AD315" t="s">
        <v>74</v>
      </c>
      <c r="AE315" t="s">
        <v>74</v>
      </c>
      <c r="AF315" s="3">
        <v>43922</v>
      </c>
      <c r="AG315">
        <v>0</v>
      </c>
      <c r="AH315">
        <f t="shared" ca="1" si="14"/>
        <v>0.23930235188751525</v>
      </c>
    </row>
    <row r="316" spans="1:34">
      <c r="A316">
        <v>315</v>
      </c>
      <c r="B316" t="s">
        <v>7</v>
      </c>
      <c r="C316">
        <v>6</v>
      </c>
      <c r="D316" t="s">
        <v>134</v>
      </c>
      <c r="E316" t="s">
        <v>79</v>
      </c>
      <c r="F316">
        <v>0</v>
      </c>
      <c r="G316" t="s">
        <v>82</v>
      </c>
      <c r="H316" t="s">
        <v>82</v>
      </c>
      <c r="I316" s="2">
        <v>0.5</v>
      </c>
      <c r="J316" t="s">
        <v>82</v>
      </c>
      <c r="K316" t="s">
        <v>81</v>
      </c>
      <c r="L316" t="s">
        <v>14</v>
      </c>
      <c r="M316">
        <v>0</v>
      </c>
      <c r="N316">
        <v>6</v>
      </c>
      <c r="O316" t="s">
        <v>134</v>
      </c>
      <c r="P316" t="s">
        <v>14</v>
      </c>
      <c r="Q316" s="1">
        <v>0.7</v>
      </c>
      <c r="R316" t="s">
        <v>67</v>
      </c>
      <c r="S316" t="e">
        <f>IF(T316="","",INDEX('Backing 4'!U:U,MATCH(T316,'Backing 4'!T:T,0)))</f>
        <v>#N/A</v>
      </c>
      <c r="T316" t="str">
        <f t="shared" si="12"/>
        <v xml:space="preserve"> Junior Officer &amp; Operations</v>
      </c>
      <c r="U316" t="e">
        <f>IF(V316="","",INDEX('Backing 4'!Z:Z,MATCH(V316,'Backing 4'!Y:Y,0)))</f>
        <v>#N/A</v>
      </c>
      <c r="V316" t="str">
        <f t="shared" si="13"/>
        <v xml:space="preserve"> Junior Officer</v>
      </c>
      <c r="W316">
        <v>0</v>
      </c>
      <c r="X316" t="str">
        <f>IF(E316="Y","",IF(Y316="Y",INDEX('Backing 2'!B:B,MATCH(D316,'Backing 2'!C:C,0)),D316))</f>
        <v/>
      </c>
      <c r="Y316" t="s">
        <v>81</v>
      </c>
      <c r="Z316">
        <v>0</v>
      </c>
      <c r="AA316" t="s">
        <v>69</v>
      </c>
      <c r="AB316">
        <v>26</v>
      </c>
      <c r="AC316" t="s">
        <v>19</v>
      </c>
      <c r="AD316" t="s">
        <v>19</v>
      </c>
      <c r="AE316" t="s">
        <v>19</v>
      </c>
      <c r="AF316" s="3">
        <v>43922</v>
      </c>
      <c r="AG316">
        <v>0</v>
      </c>
      <c r="AH316">
        <f t="shared" ca="1" si="14"/>
        <v>0.66704799170825124</v>
      </c>
    </row>
    <row r="317" spans="1:34">
      <c r="A317">
        <v>316</v>
      </c>
      <c r="B317" t="s">
        <v>8</v>
      </c>
      <c r="C317">
        <v>1</v>
      </c>
      <c r="D317" t="s">
        <v>139</v>
      </c>
      <c r="E317" t="s">
        <v>81</v>
      </c>
      <c r="F317">
        <v>0</v>
      </c>
      <c r="G317" t="s">
        <v>82</v>
      </c>
      <c r="H317" t="s">
        <v>82</v>
      </c>
      <c r="I317" s="2">
        <v>0.5</v>
      </c>
      <c r="J317" t="s">
        <v>82</v>
      </c>
      <c r="K317" t="s">
        <v>79</v>
      </c>
      <c r="L317" t="s">
        <v>14</v>
      </c>
      <c r="M317">
        <v>0</v>
      </c>
      <c r="N317">
        <v>1</v>
      </c>
      <c r="O317" t="s">
        <v>139</v>
      </c>
      <c r="P317" t="s">
        <v>14</v>
      </c>
      <c r="Q317" s="1" t="s">
        <v>68</v>
      </c>
      <c r="R317" t="s">
        <v>68</v>
      </c>
      <c r="S317" t="e">
        <f>IF(T317="","",INDEX('Backing 4'!U:U,MATCH(T317,'Backing 4'!T:T,0)))</f>
        <v>#N/A</v>
      </c>
      <c r="T317" t="str">
        <f t="shared" si="12"/>
        <v xml:space="preserve"> Executive &amp; Operations</v>
      </c>
      <c r="U317" t="e">
        <f>IF(V317="","",INDEX('Backing 4'!Z:Z,MATCH(V317,'Backing 4'!Y:Y,0)))</f>
        <v>#N/A</v>
      </c>
      <c r="V317" t="str">
        <f t="shared" si="13"/>
        <v xml:space="preserve"> Executive</v>
      </c>
      <c r="W317">
        <v>1</v>
      </c>
      <c r="X317" t="e">
        <f>IF(E317="Y","",IF(Y317="Y",INDEX('Backing 2'!B:B,MATCH(D317,'Backing 2'!C:C,0)),D317))</f>
        <v>#N/A</v>
      </c>
      <c r="Y317" t="s">
        <v>79</v>
      </c>
      <c r="Z317">
        <v>2</v>
      </c>
      <c r="AA317" t="s">
        <v>71</v>
      </c>
      <c r="AB317">
        <v>48</v>
      </c>
      <c r="AC317" t="s">
        <v>31</v>
      </c>
      <c r="AD317" t="s">
        <v>74</v>
      </c>
      <c r="AE317" t="s">
        <v>74</v>
      </c>
      <c r="AF317" s="3">
        <v>41365</v>
      </c>
      <c r="AG317">
        <v>7</v>
      </c>
      <c r="AH317">
        <f t="shared" ca="1" si="14"/>
        <v>0.88964689726028234</v>
      </c>
    </row>
    <row r="318" spans="1:34">
      <c r="A318">
        <v>317</v>
      </c>
      <c r="B318" t="s">
        <v>7</v>
      </c>
      <c r="C318">
        <v>6</v>
      </c>
      <c r="D318" t="s">
        <v>134</v>
      </c>
      <c r="E318" t="s">
        <v>81</v>
      </c>
      <c r="F318">
        <v>1</v>
      </c>
      <c r="G318" t="s">
        <v>80</v>
      </c>
      <c r="H318" t="s">
        <v>80</v>
      </c>
      <c r="I318" s="2">
        <v>0.5</v>
      </c>
      <c r="J318" t="s">
        <v>82</v>
      </c>
      <c r="K318" t="s">
        <v>79</v>
      </c>
      <c r="L318" t="s">
        <v>14</v>
      </c>
      <c r="M318">
        <v>0</v>
      </c>
      <c r="N318">
        <v>5</v>
      </c>
      <c r="O318" t="s">
        <v>138</v>
      </c>
      <c r="P318" t="s">
        <v>14</v>
      </c>
      <c r="Q318" s="1" t="s">
        <v>68</v>
      </c>
      <c r="R318" t="s">
        <v>68</v>
      </c>
      <c r="S318" t="e">
        <f>IF(T318="","",INDEX('Backing 4'!U:U,MATCH(T318,'Backing 4'!T:T,0)))</f>
        <v>#N/A</v>
      </c>
      <c r="T318" t="str">
        <f t="shared" si="12"/>
        <v xml:space="preserve"> Junior Officer &amp; Operations</v>
      </c>
      <c r="U318" t="e">
        <f>IF(V318="","",INDEX('Backing 4'!Z:Z,MATCH(V318,'Backing 4'!Y:Y,0)))</f>
        <v>#N/A</v>
      </c>
      <c r="V318" t="str">
        <f t="shared" si="13"/>
        <v xml:space="preserve"> Junior Officer</v>
      </c>
      <c r="W318">
        <v>5</v>
      </c>
      <c r="X318" t="str">
        <f>IF(E318="Y","",IF(Y318="Y",INDEX('Backing 2'!B:B,MATCH(D318,'Backing 2'!C:C,0)),D318))</f>
        <v xml:space="preserve"> Junior Officer</v>
      </c>
      <c r="Y318" t="s">
        <v>81</v>
      </c>
      <c r="Z318">
        <v>3</v>
      </c>
      <c r="AA318" t="s">
        <v>69</v>
      </c>
      <c r="AB318">
        <v>28</v>
      </c>
      <c r="AC318" t="s">
        <v>19</v>
      </c>
      <c r="AD318" t="s">
        <v>19</v>
      </c>
      <c r="AE318" t="s">
        <v>19</v>
      </c>
      <c r="AF318" s="3">
        <v>42095</v>
      </c>
      <c r="AG318">
        <v>5</v>
      </c>
      <c r="AH318">
        <f t="shared" ca="1" si="14"/>
        <v>0.3314342232735723</v>
      </c>
    </row>
    <row r="319" spans="1:34">
      <c r="A319">
        <v>318</v>
      </c>
      <c r="B319" t="s">
        <v>7</v>
      </c>
      <c r="C319">
        <v>3</v>
      </c>
      <c r="D319" t="s">
        <v>137</v>
      </c>
      <c r="E319" t="s">
        <v>79</v>
      </c>
      <c r="F319">
        <v>0</v>
      </c>
      <c r="G319" t="s">
        <v>82</v>
      </c>
      <c r="H319" t="s">
        <v>82</v>
      </c>
      <c r="I319" s="2">
        <v>0.5</v>
      </c>
      <c r="J319" t="s">
        <v>82</v>
      </c>
      <c r="K319" t="s">
        <v>81</v>
      </c>
      <c r="L319" t="s">
        <v>14</v>
      </c>
      <c r="M319">
        <v>0</v>
      </c>
      <c r="N319">
        <v>3</v>
      </c>
      <c r="O319" t="s">
        <v>137</v>
      </c>
      <c r="P319" t="s">
        <v>14</v>
      </c>
      <c r="Q319" s="1" t="s">
        <v>68</v>
      </c>
      <c r="R319" t="s">
        <v>68</v>
      </c>
      <c r="S319" t="e">
        <f>IF(T319="","",INDEX('Backing 4'!U:U,MATCH(T319,'Backing 4'!T:T,0)))</f>
        <v>#N/A</v>
      </c>
      <c r="T319" t="str">
        <f t="shared" si="12"/>
        <v xml:space="preserve"> Senior Manager &amp; Operations</v>
      </c>
      <c r="U319" t="e">
        <f>IF(V319="","",INDEX('Backing 4'!Z:Z,MATCH(V319,'Backing 4'!Y:Y,0)))</f>
        <v>#N/A</v>
      </c>
      <c r="V319" t="str">
        <f t="shared" si="13"/>
        <v xml:space="preserve"> Senior Manager</v>
      </c>
      <c r="W319">
        <v>0</v>
      </c>
      <c r="X319" t="str">
        <f>IF(E319="Y","",IF(Y319="Y",INDEX('Backing 2'!B:B,MATCH(D319,'Backing 2'!C:C,0)),D319))</f>
        <v/>
      </c>
      <c r="Y319" t="s">
        <v>81</v>
      </c>
      <c r="Z319">
        <v>0</v>
      </c>
      <c r="AA319" t="s">
        <v>71</v>
      </c>
      <c r="AB319">
        <v>43</v>
      </c>
      <c r="AC319" t="s">
        <v>30</v>
      </c>
      <c r="AD319" t="s">
        <v>74</v>
      </c>
      <c r="AE319" t="s">
        <v>74</v>
      </c>
      <c r="AF319" s="3">
        <v>43922</v>
      </c>
      <c r="AG319">
        <v>0</v>
      </c>
      <c r="AH319">
        <f t="shared" ca="1" si="14"/>
        <v>0.91631808593172948</v>
      </c>
    </row>
    <row r="320" spans="1:34">
      <c r="A320">
        <v>319</v>
      </c>
      <c r="B320" t="s">
        <v>8</v>
      </c>
      <c r="C320">
        <v>6</v>
      </c>
      <c r="D320" t="s">
        <v>134</v>
      </c>
      <c r="E320" t="s">
        <v>81</v>
      </c>
      <c r="F320">
        <v>1</v>
      </c>
      <c r="G320" t="s">
        <v>80</v>
      </c>
      <c r="H320" t="s">
        <v>80</v>
      </c>
      <c r="I320" s="2">
        <v>0.5</v>
      </c>
      <c r="J320" t="s">
        <v>82</v>
      </c>
      <c r="K320" t="s">
        <v>79</v>
      </c>
      <c r="L320" t="s">
        <v>14</v>
      </c>
      <c r="M320">
        <v>0</v>
      </c>
      <c r="N320">
        <v>5</v>
      </c>
      <c r="O320" t="s">
        <v>138</v>
      </c>
      <c r="P320" t="s">
        <v>14</v>
      </c>
      <c r="Q320" s="1" t="s">
        <v>68</v>
      </c>
      <c r="R320" t="s">
        <v>68</v>
      </c>
      <c r="S320" t="e">
        <f>IF(T320="","",INDEX('Backing 4'!U:U,MATCH(T320,'Backing 4'!T:T,0)))</f>
        <v>#N/A</v>
      </c>
      <c r="T320" t="str">
        <f t="shared" si="12"/>
        <v xml:space="preserve"> Junior Officer &amp; Operations</v>
      </c>
      <c r="U320" t="e">
        <f>IF(V320="","",INDEX('Backing 4'!Z:Z,MATCH(V320,'Backing 4'!Y:Y,0)))</f>
        <v>#N/A</v>
      </c>
      <c r="V320" t="str">
        <f t="shared" si="13"/>
        <v xml:space="preserve"> Junior Officer</v>
      </c>
      <c r="W320">
        <v>2</v>
      </c>
      <c r="X320" t="str">
        <f>IF(E320="Y","",IF(Y320="Y",INDEX('Backing 2'!B:B,MATCH(D320,'Backing 2'!C:C,0)),D320))</f>
        <v xml:space="preserve"> Junior Officer</v>
      </c>
      <c r="Y320" t="s">
        <v>81</v>
      </c>
      <c r="Z320">
        <v>2</v>
      </c>
      <c r="AA320" t="s">
        <v>69</v>
      </c>
      <c r="AB320">
        <v>27</v>
      </c>
      <c r="AC320" t="s">
        <v>30</v>
      </c>
      <c r="AD320" t="s">
        <v>74</v>
      </c>
      <c r="AE320" t="s">
        <v>74</v>
      </c>
      <c r="AF320" s="3">
        <v>43191</v>
      </c>
      <c r="AG320">
        <v>2</v>
      </c>
      <c r="AH320">
        <f t="shared" ca="1" si="14"/>
        <v>0.69938607333838732</v>
      </c>
    </row>
    <row r="321" spans="1:34">
      <c r="A321">
        <v>320</v>
      </c>
      <c r="B321" t="s">
        <v>7</v>
      </c>
      <c r="C321">
        <v>5</v>
      </c>
      <c r="D321" t="s">
        <v>138</v>
      </c>
      <c r="E321" t="s">
        <v>79</v>
      </c>
      <c r="F321">
        <v>0</v>
      </c>
      <c r="G321" t="s">
        <v>82</v>
      </c>
      <c r="H321" t="s">
        <v>82</v>
      </c>
      <c r="I321" s="2">
        <v>0.5</v>
      </c>
      <c r="J321" t="s">
        <v>82</v>
      </c>
      <c r="K321" t="s">
        <v>81</v>
      </c>
      <c r="L321" t="s">
        <v>16</v>
      </c>
      <c r="M321">
        <v>0</v>
      </c>
      <c r="N321">
        <v>5</v>
      </c>
      <c r="O321" t="s">
        <v>138</v>
      </c>
      <c r="P321" t="s">
        <v>16</v>
      </c>
      <c r="Q321" s="1" t="s">
        <v>68</v>
      </c>
      <c r="R321" t="s">
        <v>68</v>
      </c>
      <c r="S321" t="e">
        <f>IF(T321="","",INDEX('Backing 4'!U:U,MATCH(T321,'Backing 4'!T:T,0)))</f>
        <v>#N/A</v>
      </c>
      <c r="T321" t="str">
        <f t="shared" si="12"/>
        <v xml:space="preserve"> Senior Officer &amp; Sales &amp; Marketing</v>
      </c>
      <c r="U321" t="e">
        <f>IF(V321="","",INDEX('Backing 4'!Z:Z,MATCH(V321,'Backing 4'!Y:Y,0)))</f>
        <v>#N/A</v>
      </c>
      <c r="V321" t="str">
        <f t="shared" si="13"/>
        <v xml:space="preserve"> Senior Officer</v>
      </c>
      <c r="W321">
        <v>0</v>
      </c>
      <c r="X321" t="str">
        <f>IF(E321="Y","",IF(Y321="Y",INDEX('Backing 2'!B:B,MATCH(D321,'Backing 2'!C:C,0)),D321))</f>
        <v/>
      </c>
      <c r="Y321" t="s">
        <v>81</v>
      </c>
      <c r="Z321">
        <v>0</v>
      </c>
      <c r="AA321" t="s">
        <v>70</v>
      </c>
      <c r="AB321">
        <v>31</v>
      </c>
      <c r="AC321" t="s">
        <v>19</v>
      </c>
      <c r="AD321" t="s">
        <v>19</v>
      </c>
      <c r="AE321" t="s">
        <v>19</v>
      </c>
      <c r="AF321" s="3">
        <v>43922</v>
      </c>
      <c r="AG321">
        <v>0</v>
      </c>
      <c r="AH321">
        <f t="shared" ca="1" si="14"/>
        <v>0.29130915409422586</v>
      </c>
    </row>
    <row r="322" spans="1:34">
      <c r="A322">
        <v>321</v>
      </c>
      <c r="B322" t="s">
        <v>8</v>
      </c>
      <c r="C322">
        <v>3</v>
      </c>
      <c r="D322" t="s">
        <v>137</v>
      </c>
      <c r="E322" t="s">
        <v>81</v>
      </c>
      <c r="F322">
        <v>3</v>
      </c>
      <c r="G322" t="s">
        <v>82</v>
      </c>
      <c r="H322" t="s">
        <v>80</v>
      </c>
      <c r="I322" s="2">
        <v>0.5</v>
      </c>
      <c r="J322" t="s">
        <v>82</v>
      </c>
      <c r="K322" t="s">
        <v>79</v>
      </c>
      <c r="L322" t="s">
        <v>14</v>
      </c>
      <c r="M322">
        <v>0</v>
      </c>
      <c r="N322">
        <v>3</v>
      </c>
      <c r="O322" t="s">
        <v>137</v>
      </c>
      <c r="P322" t="s">
        <v>14</v>
      </c>
      <c r="Q322" s="1" t="s">
        <v>68</v>
      </c>
      <c r="R322" t="s">
        <v>68</v>
      </c>
      <c r="S322" t="e">
        <f>IF(T322="","",INDEX('Backing 4'!U:U,MATCH(T322,'Backing 4'!T:T,0)))</f>
        <v>#N/A</v>
      </c>
      <c r="T322" t="str">
        <f t="shared" ref="T322:T385" si="15">IF(O322="","",IF(D322="1 - Executive","",D322&amp;" &amp; "&amp;P322))</f>
        <v xml:space="preserve"> Senior Manager &amp; Operations</v>
      </c>
      <c r="U322" t="e">
        <f>IF(V322="","",INDEX('Backing 4'!Z:Z,MATCH(V322,'Backing 4'!Y:Y,0)))</f>
        <v>#N/A</v>
      </c>
      <c r="V322" t="str">
        <f t="shared" ref="V322:V385" si="16">IF(O322="","",IF(D322="1 - Executive","",D322))</f>
        <v xml:space="preserve"> Senior Manager</v>
      </c>
      <c r="W322">
        <v>3</v>
      </c>
      <c r="X322" t="str">
        <f>IF(E322="Y","",IF(Y322="Y",INDEX('Backing 2'!B:B,MATCH(D322,'Backing 2'!C:C,0)),D322))</f>
        <v xml:space="preserve"> Senior Manager</v>
      </c>
      <c r="Y322" t="s">
        <v>81</v>
      </c>
      <c r="Z322">
        <v>3</v>
      </c>
      <c r="AA322" t="s">
        <v>70</v>
      </c>
      <c r="AB322">
        <v>38</v>
      </c>
      <c r="AC322" t="s">
        <v>19</v>
      </c>
      <c r="AD322" t="s">
        <v>19</v>
      </c>
      <c r="AE322" t="s">
        <v>19</v>
      </c>
      <c r="AF322" s="3">
        <v>40634</v>
      </c>
      <c r="AG322">
        <v>9</v>
      </c>
      <c r="AH322">
        <f t="shared" ref="AH322:AH385" ca="1" si="17">RAND()</f>
        <v>0.74493683997936</v>
      </c>
    </row>
    <row r="323" spans="1:34">
      <c r="A323">
        <v>322</v>
      </c>
      <c r="B323" t="s">
        <v>7</v>
      </c>
      <c r="C323">
        <v>3</v>
      </c>
      <c r="D323" t="s">
        <v>137</v>
      </c>
      <c r="E323" t="s">
        <v>81</v>
      </c>
      <c r="F323">
        <v>3</v>
      </c>
      <c r="G323" t="s">
        <v>82</v>
      </c>
      <c r="H323" t="s">
        <v>80</v>
      </c>
      <c r="I323" s="2">
        <v>0.5</v>
      </c>
      <c r="J323" t="s">
        <v>82</v>
      </c>
      <c r="K323" t="s">
        <v>79</v>
      </c>
      <c r="L323" t="s">
        <v>15</v>
      </c>
      <c r="M323">
        <v>0</v>
      </c>
      <c r="N323">
        <v>3</v>
      </c>
      <c r="O323" t="s">
        <v>137</v>
      </c>
      <c r="P323" t="s">
        <v>15</v>
      </c>
      <c r="Q323" s="1" t="s">
        <v>68</v>
      </c>
      <c r="R323" t="s">
        <v>68</v>
      </c>
      <c r="S323" t="e">
        <f>IF(T323="","",INDEX('Backing 4'!U:U,MATCH(T323,'Backing 4'!T:T,0)))</f>
        <v>#N/A</v>
      </c>
      <c r="T323" t="str">
        <f t="shared" si="15"/>
        <v xml:space="preserve"> Senior Manager &amp; Internal Services</v>
      </c>
      <c r="U323" t="e">
        <f>IF(V323="","",INDEX('Backing 4'!Z:Z,MATCH(V323,'Backing 4'!Y:Y,0)))</f>
        <v>#N/A</v>
      </c>
      <c r="V323" t="str">
        <f t="shared" si="16"/>
        <v xml:space="preserve"> Senior Manager</v>
      </c>
      <c r="W323">
        <v>3</v>
      </c>
      <c r="X323" t="str">
        <f>IF(E323="Y","",IF(Y323="Y",INDEX('Backing 2'!B:B,MATCH(D323,'Backing 2'!C:C,0)),D323))</f>
        <v xml:space="preserve"> Senior Manager</v>
      </c>
      <c r="Y323" t="s">
        <v>81</v>
      </c>
      <c r="Z323">
        <v>3</v>
      </c>
      <c r="AA323" t="s">
        <v>71</v>
      </c>
      <c r="AB323">
        <v>43</v>
      </c>
      <c r="AC323" t="s">
        <v>19</v>
      </c>
      <c r="AD323" t="s">
        <v>19</v>
      </c>
      <c r="AE323" t="s">
        <v>19</v>
      </c>
      <c r="AF323" s="3">
        <v>42461</v>
      </c>
      <c r="AG323">
        <v>4</v>
      </c>
      <c r="AH323">
        <f t="shared" ca="1" si="17"/>
        <v>0.11541638703488288</v>
      </c>
    </row>
    <row r="324" spans="1:34">
      <c r="A324">
        <v>323</v>
      </c>
      <c r="B324" t="s">
        <v>8</v>
      </c>
      <c r="C324">
        <v>5</v>
      </c>
      <c r="D324" t="s">
        <v>138</v>
      </c>
      <c r="E324" t="s">
        <v>81</v>
      </c>
      <c r="F324">
        <v>2</v>
      </c>
      <c r="G324" t="s">
        <v>82</v>
      </c>
      <c r="H324" t="s">
        <v>80</v>
      </c>
      <c r="I324" s="2">
        <v>0.5</v>
      </c>
      <c r="J324" t="s">
        <v>82</v>
      </c>
      <c r="K324" t="s">
        <v>79</v>
      </c>
      <c r="L324" t="s">
        <v>16</v>
      </c>
      <c r="M324">
        <v>0</v>
      </c>
      <c r="N324">
        <v>5</v>
      </c>
      <c r="O324" t="s">
        <v>138</v>
      </c>
      <c r="P324" t="s">
        <v>16</v>
      </c>
      <c r="Q324" s="1" t="s">
        <v>68</v>
      </c>
      <c r="R324" t="s">
        <v>68</v>
      </c>
      <c r="S324" t="e">
        <f>IF(T324="","",INDEX('Backing 4'!U:U,MATCH(T324,'Backing 4'!T:T,0)))</f>
        <v>#N/A</v>
      </c>
      <c r="T324" t="str">
        <f t="shared" si="15"/>
        <v xml:space="preserve"> Senior Officer &amp; Sales &amp; Marketing</v>
      </c>
      <c r="U324" t="e">
        <f>IF(V324="","",INDEX('Backing 4'!Z:Z,MATCH(V324,'Backing 4'!Y:Y,0)))</f>
        <v>#N/A</v>
      </c>
      <c r="V324" t="str">
        <f t="shared" si="16"/>
        <v xml:space="preserve"> Senior Officer</v>
      </c>
      <c r="W324">
        <v>3</v>
      </c>
      <c r="X324" t="str">
        <f>IF(E324="Y","",IF(Y324="Y",INDEX('Backing 2'!B:B,MATCH(D324,'Backing 2'!C:C,0)),D324))</f>
        <v xml:space="preserve"> Senior Officer</v>
      </c>
      <c r="Y324" t="s">
        <v>81</v>
      </c>
      <c r="Z324">
        <v>0</v>
      </c>
      <c r="AA324" t="s">
        <v>69</v>
      </c>
      <c r="AB324">
        <v>24</v>
      </c>
      <c r="AC324" t="s">
        <v>19</v>
      </c>
      <c r="AD324" t="s">
        <v>19</v>
      </c>
      <c r="AE324" t="s">
        <v>19</v>
      </c>
      <c r="AF324" s="3">
        <v>42826</v>
      </c>
      <c r="AG324">
        <v>3</v>
      </c>
      <c r="AH324">
        <f t="shared" ca="1" si="17"/>
        <v>0.70477034331724919</v>
      </c>
    </row>
    <row r="325" spans="1:34">
      <c r="A325">
        <v>324</v>
      </c>
      <c r="B325" t="s">
        <v>8</v>
      </c>
      <c r="C325">
        <v>3</v>
      </c>
      <c r="D325" t="s">
        <v>137</v>
      </c>
      <c r="E325" t="s">
        <v>81</v>
      </c>
      <c r="F325">
        <v>2</v>
      </c>
      <c r="G325" t="s">
        <v>80</v>
      </c>
      <c r="H325" t="s">
        <v>80</v>
      </c>
      <c r="I325" s="2">
        <v>0.5</v>
      </c>
      <c r="J325" t="s">
        <v>82</v>
      </c>
      <c r="K325" t="s">
        <v>79</v>
      </c>
      <c r="L325" t="s">
        <v>15</v>
      </c>
      <c r="M325">
        <v>0</v>
      </c>
      <c r="N325">
        <v>2</v>
      </c>
      <c r="O325" t="s">
        <v>136</v>
      </c>
      <c r="P325" t="s">
        <v>15</v>
      </c>
      <c r="Q325" s="1" t="s">
        <v>68</v>
      </c>
      <c r="R325" t="s">
        <v>68</v>
      </c>
      <c r="S325" t="e">
        <f>IF(T325="","",INDEX('Backing 4'!U:U,MATCH(T325,'Backing 4'!T:T,0)))</f>
        <v>#N/A</v>
      </c>
      <c r="T325" t="str">
        <f t="shared" si="15"/>
        <v xml:space="preserve"> Senior Manager &amp; Internal Services</v>
      </c>
      <c r="U325" t="e">
        <f>IF(V325="","",INDEX('Backing 4'!Z:Z,MATCH(V325,'Backing 4'!Y:Y,0)))</f>
        <v>#N/A</v>
      </c>
      <c r="V325" t="str">
        <f t="shared" si="16"/>
        <v xml:space="preserve"> Senior Manager</v>
      </c>
      <c r="W325">
        <v>1</v>
      </c>
      <c r="X325" t="e">
        <f>IF(E325="Y","",IF(Y325="Y",INDEX('Backing 2'!B:B,MATCH(D325,'Backing 2'!C:C,0)),D325))</f>
        <v>#N/A</v>
      </c>
      <c r="Y325" t="s">
        <v>79</v>
      </c>
      <c r="Z325">
        <v>1</v>
      </c>
      <c r="AA325" t="s">
        <v>70</v>
      </c>
      <c r="AB325">
        <v>35</v>
      </c>
      <c r="AC325" t="s">
        <v>19</v>
      </c>
      <c r="AD325" t="s">
        <v>19</v>
      </c>
      <c r="AE325" t="s">
        <v>19</v>
      </c>
      <c r="AF325" s="3">
        <v>41365</v>
      </c>
      <c r="AG325">
        <v>7</v>
      </c>
      <c r="AH325">
        <f t="shared" ca="1" si="17"/>
        <v>0.58216427460727993</v>
      </c>
    </row>
    <row r="326" spans="1:34">
      <c r="A326">
        <v>325</v>
      </c>
      <c r="B326" t="s">
        <v>7</v>
      </c>
      <c r="C326">
        <v>5</v>
      </c>
      <c r="D326" t="s">
        <v>138</v>
      </c>
      <c r="E326" t="s">
        <v>81</v>
      </c>
      <c r="F326">
        <v>2</v>
      </c>
      <c r="G326" t="s">
        <v>82</v>
      </c>
      <c r="H326" t="s">
        <v>80</v>
      </c>
      <c r="I326" s="2">
        <v>0.5</v>
      </c>
      <c r="J326" t="s">
        <v>82</v>
      </c>
      <c r="K326" t="s">
        <v>79</v>
      </c>
      <c r="L326" t="s">
        <v>14</v>
      </c>
      <c r="M326">
        <v>0</v>
      </c>
      <c r="N326">
        <v>5</v>
      </c>
      <c r="O326" t="s">
        <v>138</v>
      </c>
      <c r="P326" t="s">
        <v>14</v>
      </c>
      <c r="Q326" s="1">
        <v>0.6</v>
      </c>
      <c r="R326" t="s">
        <v>67</v>
      </c>
      <c r="S326" t="e">
        <f>IF(T326="","",INDEX('Backing 4'!U:U,MATCH(T326,'Backing 4'!T:T,0)))</f>
        <v>#N/A</v>
      </c>
      <c r="T326" t="str">
        <f t="shared" si="15"/>
        <v xml:space="preserve"> Senior Officer &amp; Operations</v>
      </c>
      <c r="U326" t="e">
        <f>IF(V326="","",INDEX('Backing 4'!Z:Z,MATCH(V326,'Backing 4'!Y:Y,0)))</f>
        <v>#N/A</v>
      </c>
      <c r="V326" t="str">
        <f t="shared" si="16"/>
        <v xml:space="preserve"> Senior Officer</v>
      </c>
      <c r="W326">
        <v>2</v>
      </c>
      <c r="X326" t="str">
        <f>IF(E326="Y","",IF(Y326="Y",INDEX('Backing 2'!B:B,MATCH(D326,'Backing 2'!C:C,0)),D326))</f>
        <v xml:space="preserve"> Senior Officer</v>
      </c>
      <c r="Y326" t="s">
        <v>81</v>
      </c>
      <c r="Z326">
        <v>4</v>
      </c>
      <c r="AA326" t="s">
        <v>70</v>
      </c>
      <c r="AB326">
        <v>30</v>
      </c>
      <c r="AC326" t="s">
        <v>19</v>
      </c>
      <c r="AD326" t="s">
        <v>19</v>
      </c>
      <c r="AE326" t="s">
        <v>19</v>
      </c>
      <c r="AF326" s="3">
        <v>42461</v>
      </c>
      <c r="AG326">
        <v>4</v>
      </c>
      <c r="AH326">
        <f t="shared" ca="1" si="17"/>
        <v>0.12290267373257613</v>
      </c>
    </row>
    <row r="327" spans="1:34">
      <c r="A327">
        <v>326</v>
      </c>
      <c r="B327" t="s">
        <v>8</v>
      </c>
      <c r="C327">
        <v>2</v>
      </c>
      <c r="D327" t="s">
        <v>136</v>
      </c>
      <c r="E327" t="s">
        <v>81</v>
      </c>
      <c r="F327">
        <v>2</v>
      </c>
      <c r="G327" t="s">
        <v>82</v>
      </c>
      <c r="H327" t="s">
        <v>80</v>
      </c>
      <c r="I327" s="2">
        <v>0.5</v>
      </c>
      <c r="J327" t="s">
        <v>82</v>
      </c>
      <c r="K327" t="s">
        <v>79</v>
      </c>
      <c r="L327" t="s">
        <v>16</v>
      </c>
      <c r="M327">
        <v>0</v>
      </c>
      <c r="N327">
        <v>2</v>
      </c>
      <c r="O327" t="s">
        <v>136</v>
      </c>
      <c r="P327" t="s">
        <v>16</v>
      </c>
      <c r="Q327" s="1" t="s">
        <v>68</v>
      </c>
      <c r="R327" t="s">
        <v>68</v>
      </c>
      <c r="S327" t="e">
        <f>IF(T327="","",INDEX('Backing 4'!U:U,MATCH(T327,'Backing 4'!T:T,0)))</f>
        <v>#N/A</v>
      </c>
      <c r="T327" t="str">
        <f t="shared" si="15"/>
        <v xml:space="preserve"> Director &amp; Sales &amp; Marketing</v>
      </c>
      <c r="U327" t="s">
        <v>120</v>
      </c>
      <c r="V327" t="str">
        <f t="shared" si="16"/>
        <v xml:space="preserve"> Director</v>
      </c>
      <c r="W327">
        <v>3</v>
      </c>
      <c r="X327" t="str">
        <f>IF(E327="Y","",IF(Y327="Y",INDEX('Backing 2'!B:B,MATCH(D327,'Backing 2'!C:C,0)),D327))</f>
        <v xml:space="preserve"> Director</v>
      </c>
      <c r="Y327" t="s">
        <v>81</v>
      </c>
      <c r="Z327">
        <v>3</v>
      </c>
      <c r="AA327" t="s">
        <v>70</v>
      </c>
      <c r="AB327">
        <v>37</v>
      </c>
      <c r="AC327" t="s">
        <v>31</v>
      </c>
      <c r="AD327" t="s">
        <v>74</v>
      </c>
      <c r="AE327" t="s">
        <v>74</v>
      </c>
      <c r="AF327" s="3">
        <v>42095</v>
      </c>
      <c r="AG327">
        <v>5</v>
      </c>
      <c r="AH327">
        <f t="shared" ca="1" si="17"/>
        <v>0.33417013081934233</v>
      </c>
    </row>
    <row r="328" spans="1:34">
      <c r="A328">
        <v>327</v>
      </c>
      <c r="B328" t="s">
        <v>8</v>
      </c>
      <c r="C328">
        <v>4</v>
      </c>
      <c r="D328" t="s">
        <v>135</v>
      </c>
      <c r="E328" t="s">
        <v>81</v>
      </c>
      <c r="F328">
        <v>3</v>
      </c>
      <c r="G328" t="s">
        <v>82</v>
      </c>
      <c r="H328" t="s">
        <v>80</v>
      </c>
      <c r="I328" s="2">
        <v>0.5</v>
      </c>
      <c r="J328" t="s">
        <v>82</v>
      </c>
      <c r="K328" t="s">
        <v>79</v>
      </c>
      <c r="L328" t="s">
        <v>16</v>
      </c>
      <c r="M328">
        <v>0</v>
      </c>
      <c r="N328">
        <v>4</v>
      </c>
      <c r="O328" t="s">
        <v>135</v>
      </c>
      <c r="P328" t="s">
        <v>16</v>
      </c>
      <c r="Q328" s="1" t="s">
        <v>68</v>
      </c>
      <c r="R328" t="s">
        <v>68</v>
      </c>
      <c r="S328" t="e">
        <f>IF(T328="","",INDEX('Backing 4'!U:U,MATCH(T328,'Backing 4'!T:T,0)))</f>
        <v>#N/A</v>
      </c>
      <c r="T328" t="str">
        <f t="shared" si="15"/>
        <v xml:space="preserve"> Manager &amp; Sales &amp; Marketing</v>
      </c>
      <c r="U328" t="e">
        <f>IF(V328="","",INDEX('Backing 4'!Z:Z,MATCH(V328,'Backing 4'!Y:Y,0)))</f>
        <v>#N/A</v>
      </c>
      <c r="V328" t="str">
        <f t="shared" si="16"/>
        <v xml:space="preserve"> Manager</v>
      </c>
      <c r="W328">
        <v>1</v>
      </c>
      <c r="X328" t="e">
        <f>IF(E328="Y","",IF(Y328="Y",INDEX('Backing 2'!B:B,MATCH(D328,'Backing 2'!C:C,0)),D328))</f>
        <v>#N/A</v>
      </c>
      <c r="Y328" t="s">
        <v>79</v>
      </c>
      <c r="Z328">
        <v>1</v>
      </c>
      <c r="AA328" t="s">
        <v>71</v>
      </c>
      <c r="AB328">
        <v>40</v>
      </c>
      <c r="AC328" t="s">
        <v>19</v>
      </c>
      <c r="AD328" t="s">
        <v>19</v>
      </c>
      <c r="AE328" t="s">
        <v>19</v>
      </c>
      <c r="AF328" s="3">
        <v>41730</v>
      </c>
      <c r="AG328">
        <v>6</v>
      </c>
      <c r="AH328">
        <f t="shared" ca="1" si="17"/>
        <v>0.10986023574984072</v>
      </c>
    </row>
    <row r="329" spans="1:34">
      <c r="A329">
        <v>328</v>
      </c>
      <c r="B329" t="s">
        <v>7</v>
      </c>
      <c r="C329">
        <v>5</v>
      </c>
      <c r="D329" t="s">
        <v>138</v>
      </c>
      <c r="E329" t="s">
        <v>81</v>
      </c>
      <c r="F329">
        <v>3</v>
      </c>
      <c r="G329" t="s">
        <v>82</v>
      </c>
      <c r="H329" t="s">
        <v>80</v>
      </c>
      <c r="I329" s="2">
        <v>0.5</v>
      </c>
      <c r="J329" t="s">
        <v>82</v>
      </c>
      <c r="K329" t="s">
        <v>79</v>
      </c>
      <c r="L329" t="s">
        <v>14</v>
      </c>
      <c r="M329">
        <v>0</v>
      </c>
      <c r="N329">
        <v>5</v>
      </c>
      <c r="O329" t="s">
        <v>138</v>
      </c>
      <c r="P329" t="s">
        <v>14</v>
      </c>
      <c r="Q329" s="1" t="s">
        <v>68</v>
      </c>
      <c r="R329" t="s">
        <v>68</v>
      </c>
      <c r="S329" t="e">
        <f>IF(T329="","",INDEX('Backing 4'!U:U,MATCH(T329,'Backing 4'!T:T,0)))</f>
        <v>#N/A</v>
      </c>
      <c r="T329" t="str">
        <f t="shared" si="15"/>
        <v xml:space="preserve"> Senior Officer &amp; Operations</v>
      </c>
      <c r="U329" t="e">
        <f>IF(V329="","",INDEX('Backing 4'!Z:Z,MATCH(V329,'Backing 4'!Y:Y,0)))</f>
        <v>#N/A</v>
      </c>
      <c r="V329" t="str">
        <f t="shared" si="16"/>
        <v xml:space="preserve"> Senior Officer</v>
      </c>
      <c r="W329">
        <v>3</v>
      </c>
      <c r="X329" t="str">
        <f>IF(E329="Y","",IF(Y329="Y",INDEX('Backing 2'!B:B,MATCH(D329,'Backing 2'!C:C,0)),D329))</f>
        <v xml:space="preserve"> Senior Officer</v>
      </c>
      <c r="Y329" t="s">
        <v>81</v>
      </c>
      <c r="Z329">
        <v>2</v>
      </c>
      <c r="AA329" t="s">
        <v>70</v>
      </c>
      <c r="AB329">
        <v>30</v>
      </c>
      <c r="AC329" t="s">
        <v>30</v>
      </c>
      <c r="AD329" t="s">
        <v>74</v>
      </c>
      <c r="AE329" t="s">
        <v>74</v>
      </c>
      <c r="AF329" s="3">
        <v>41730</v>
      </c>
      <c r="AG329">
        <v>6</v>
      </c>
      <c r="AH329">
        <f t="shared" ca="1" si="17"/>
        <v>0.78883384118233624</v>
      </c>
    </row>
    <row r="330" spans="1:34">
      <c r="A330">
        <v>329</v>
      </c>
      <c r="B330" t="s">
        <v>7</v>
      </c>
      <c r="C330">
        <v>4</v>
      </c>
      <c r="D330" t="s">
        <v>135</v>
      </c>
      <c r="E330" t="s">
        <v>81</v>
      </c>
      <c r="F330">
        <v>0</v>
      </c>
      <c r="G330" t="s">
        <v>82</v>
      </c>
      <c r="H330" t="s">
        <v>82</v>
      </c>
      <c r="I330" s="2">
        <v>0.5</v>
      </c>
      <c r="J330" t="s">
        <v>80</v>
      </c>
      <c r="K330" t="s">
        <v>79</v>
      </c>
      <c r="L330" t="s">
        <v>16</v>
      </c>
      <c r="M330" t="s">
        <v>83</v>
      </c>
      <c r="N330">
        <v>0</v>
      </c>
      <c r="O330" t="s">
        <v>142</v>
      </c>
      <c r="P330" t="s">
        <v>16</v>
      </c>
      <c r="Q330" s="1" t="s">
        <v>68</v>
      </c>
      <c r="R330" t="s">
        <v>68</v>
      </c>
      <c r="S330" t="e">
        <f>IF(T330="","",INDEX('Backing 4'!U:U,MATCH(T330,'Backing 4'!T:T,0)))</f>
        <v>#N/A</v>
      </c>
      <c r="T330" t="str">
        <f t="shared" si="15"/>
        <v xml:space="preserve"> Manager &amp; Sales &amp; Marketing</v>
      </c>
      <c r="U330" t="e">
        <f>IF(V330="","",INDEX('Backing 4'!Z:Z,MATCH(V330,'Backing 4'!Y:Y,0)))</f>
        <v>#N/A</v>
      </c>
      <c r="V330" t="str">
        <f t="shared" si="16"/>
        <v xml:space="preserve"> Manager</v>
      </c>
      <c r="W330">
        <v>2</v>
      </c>
      <c r="X330" t="str">
        <f>IF(E330="Y","",IF(Y330="Y",INDEX('Backing 2'!B:B,MATCH(D330,'Backing 2'!C:C,0)),D330))</f>
        <v xml:space="preserve"> Manager</v>
      </c>
      <c r="Y330" t="s">
        <v>81</v>
      </c>
      <c r="Z330">
        <v>2</v>
      </c>
      <c r="AA330" t="s">
        <v>71</v>
      </c>
      <c r="AB330">
        <v>45</v>
      </c>
      <c r="AC330" t="s">
        <v>26</v>
      </c>
      <c r="AD330" t="s">
        <v>74</v>
      </c>
      <c r="AE330" t="s">
        <v>74</v>
      </c>
      <c r="AF330" s="3">
        <v>41365</v>
      </c>
      <c r="AG330">
        <v>7</v>
      </c>
      <c r="AH330">
        <f t="shared" ca="1" si="17"/>
        <v>0.26077817635574596</v>
      </c>
    </row>
    <row r="331" spans="1:34">
      <c r="A331">
        <v>330</v>
      </c>
      <c r="B331" t="s">
        <v>7</v>
      </c>
      <c r="C331">
        <v>4</v>
      </c>
      <c r="D331" s="4" t="s">
        <v>135</v>
      </c>
      <c r="E331" t="s">
        <v>81</v>
      </c>
      <c r="F331">
        <v>3</v>
      </c>
      <c r="G331" t="s">
        <v>82</v>
      </c>
      <c r="H331" t="s">
        <v>82</v>
      </c>
      <c r="I331" s="2">
        <v>0.5</v>
      </c>
      <c r="J331" t="s">
        <v>80</v>
      </c>
      <c r="K331" t="s">
        <v>79</v>
      </c>
      <c r="L331" t="s">
        <v>14</v>
      </c>
      <c r="M331" t="s">
        <v>83</v>
      </c>
      <c r="N331">
        <v>0</v>
      </c>
      <c r="O331" t="s">
        <v>142</v>
      </c>
      <c r="P331" t="s">
        <v>14</v>
      </c>
      <c r="Q331" s="1">
        <v>0.9</v>
      </c>
      <c r="R331" t="s">
        <v>67</v>
      </c>
      <c r="S331" t="e">
        <f>IF(T331="","",INDEX('Backing 4'!U:U,MATCH(T331,'Backing 4'!T:T,0)))</f>
        <v>#N/A</v>
      </c>
      <c r="T331" t="str">
        <f t="shared" si="15"/>
        <v xml:space="preserve"> Manager &amp; Operations</v>
      </c>
      <c r="U331" t="e">
        <f>IF(V331="","",INDEX('Backing 4'!Z:Z,MATCH(V331,'Backing 4'!Y:Y,0)))</f>
        <v>#N/A</v>
      </c>
      <c r="V331" t="str">
        <f t="shared" si="16"/>
        <v xml:space="preserve"> Manager</v>
      </c>
      <c r="W331">
        <v>3</v>
      </c>
      <c r="X331" t="str">
        <f>IF(E331="Y","",IF(Y331="Y",INDEX('Backing 2'!B:B,MATCH(D331,'Backing 2'!C:C,0)),D331))</f>
        <v xml:space="preserve"> Manager</v>
      </c>
      <c r="Y331" t="s">
        <v>81</v>
      </c>
      <c r="Z331">
        <v>3</v>
      </c>
      <c r="AA331" t="s">
        <v>72</v>
      </c>
      <c r="AB331">
        <v>51</v>
      </c>
      <c r="AC331" t="s">
        <v>19</v>
      </c>
      <c r="AD331" t="s">
        <v>19</v>
      </c>
      <c r="AE331" t="s">
        <v>19</v>
      </c>
      <c r="AF331" s="3">
        <v>42095</v>
      </c>
      <c r="AG331">
        <v>5</v>
      </c>
      <c r="AH331">
        <f t="shared" ca="1" si="17"/>
        <v>0.7152577996480044</v>
      </c>
    </row>
    <row r="332" spans="1:34">
      <c r="A332">
        <v>331</v>
      </c>
      <c r="B332" t="s">
        <v>7</v>
      </c>
      <c r="C332">
        <v>6</v>
      </c>
      <c r="D332" t="s">
        <v>134</v>
      </c>
      <c r="E332" t="s">
        <v>81</v>
      </c>
      <c r="F332">
        <v>2</v>
      </c>
      <c r="G332" t="s">
        <v>82</v>
      </c>
      <c r="H332" t="s">
        <v>80</v>
      </c>
      <c r="I332" s="2">
        <v>0.5</v>
      </c>
      <c r="J332" t="s">
        <v>82</v>
      </c>
      <c r="K332" t="s">
        <v>79</v>
      </c>
      <c r="L332" t="s">
        <v>16</v>
      </c>
      <c r="M332">
        <v>0</v>
      </c>
      <c r="N332">
        <v>6</v>
      </c>
      <c r="O332" t="s">
        <v>134</v>
      </c>
      <c r="P332" t="s">
        <v>16</v>
      </c>
      <c r="Q332" s="1" t="s">
        <v>68</v>
      </c>
      <c r="R332" t="s">
        <v>68</v>
      </c>
      <c r="S332" t="e">
        <f>IF(T332="","",INDEX('Backing 4'!U:U,MATCH(T332,'Backing 4'!T:T,0)))</f>
        <v>#N/A</v>
      </c>
      <c r="T332" t="str">
        <f t="shared" si="15"/>
        <v xml:space="preserve"> Junior Officer &amp; Sales &amp; Marketing</v>
      </c>
      <c r="U332" t="e">
        <f>IF(V332="","",INDEX('Backing 4'!Z:Z,MATCH(V332,'Backing 4'!Y:Y,0)))</f>
        <v>#N/A</v>
      </c>
      <c r="V332" t="str">
        <f t="shared" si="16"/>
        <v xml:space="preserve"> Junior Officer</v>
      </c>
      <c r="W332">
        <v>3</v>
      </c>
      <c r="X332" t="str">
        <f>IF(E332="Y","",IF(Y332="Y",INDEX('Backing 2'!B:B,MATCH(D332,'Backing 2'!C:C,0)),D332))</f>
        <v xml:space="preserve"> Junior Officer</v>
      </c>
      <c r="Y332" t="s">
        <v>81</v>
      </c>
      <c r="Z332">
        <v>3</v>
      </c>
      <c r="AA332" t="s">
        <v>69</v>
      </c>
      <c r="AB332">
        <v>24</v>
      </c>
      <c r="AC332" t="s">
        <v>19</v>
      </c>
      <c r="AD332" t="s">
        <v>19</v>
      </c>
      <c r="AE332" t="s">
        <v>19</v>
      </c>
      <c r="AF332" s="3">
        <v>42826</v>
      </c>
      <c r="AG332">
        <v>3</v>
      </c>
      <c r="AH332">
        <f t="shared" ca="1" si="17"/>
        <v>0.64177193690300094</v>
      </c>
    </row>
    <row r="333" spans="1:34">
      <c r="A333">
        <v>332</v>
      </c>
      <c r="B333" t="s">
        <v>8</v>
      </c>
      <c r="C333">
        <v>6</v>
      </c>
      <c r="D333" t="s">
        <v>134</v>
      </c>
      <c r="E333" t="s">
        <v>81</v>
      </c>
      <c r="F333">
        <v>2</v>
      </c>
      <c r="G333" t="s">
        <v>82</v>
      </c>
      <c r="H333" t="s">
        <v>80</v>
      </c>
      <c r="I333" s="2">
        <v>0.5</v>
      </c>
      <c r="J333" t="s">
        <v>82</v>
      </c>
      <c r="K333" t="s">
        <v>79</v>
      </c>
      <c r="L333" t="s">
        <v>14</v>
      </c>
      <c r="M333">
        <v>0</v>
      </c>
      <c r="N333">
        <v>6</v>
      </c>
      <c r="O333" t="s">
        <v>134</v>
      </c>
      <c r="P333" t="s">
        <v>14</v>
      </c>
      <c r="Q333" s="1" t="s">
        <v>68</v>
      </c>
      <c r="R333" t="s">
        <v>68</v>
      </c>
      <c r="S333" t="e">
        <f>IF(T333="","",INDEX('Backing 4'!U:U,MATCH(T333,'Backing 4'!T:T,0)))</f>
        <v>#N/A</v>
      </c>
      <c r="T333" t="str">
        <f t="shared" si="15"/>
        <v xml:space="preserve"> Junior Officer &amp; Operations</v>
      </c>
      <c r="U333" t="e">
        <f>IF(V333="","",INDEX('Backing 4'!Z:Z,MATCH(V333,'Backing 4'!Y:Y,0)))</f>
        <v>#N/A</v>
      </c>
      <c r="V333" t="str">
        <f t="shared" si="16"/>
        <v xml:space="preserve"> Junior Officer</v>
      </c>
      <c r="W333">
        <v>2</v>
      </c>
      <c r="X333" t="str">
        <f>IF(E333="Y","",IF(Y333="Y",INDEX('Backing 2'!B:B,MATCH(D333,'Backing 2'!C:C,0)),D333))</f>
        <v xml:space="preserve"> Junior Officer</v>
      </c>
      <c r="Y333" t="s">
        <v>81</v>
      </c>
      <c r="Z333">
        <v>3</v>
      </c>
      <c r="AA333" t="s">
        <v>69</v>
      </c>
      <c r="AB333">
        <v>21</v>
      </c>
      <c r="AC333" t="s">
        <v>19</v>
      </c>
      <c r="AD333" t="s">
        <v>19</v>
      </c>
      <c r="AE333" t="s">
        <v>19</v>
      </c>
      <c r="AF333" s="3">
        <v>43191</v>
      </c>
      <c r="AG333">
        <v>2</v>
      </c>
      <c r="AH333">
        <f t="shared" ca="1" si="17"/>
        <v>0.30086662111018092</v>
      </c>
    </row>
    <row r="334" spans="1:34">
      <c r="A334">
        <v>333</v>
      </c>
      <c r="B334" t="s">
        <v>8</v>
      </c>
      <c r="C334">
        <v>6</v>
      </c>
      <c r="D334" t="s">
        <v>134</v>
      </c>
      <c r="E334" t="s">
        <v>81</v>
      </c>
      <c r="F334">
        <v>3</v>
      </c>
      <c r="G334" t="s">
        <v>82</v>
      </c>
      <c r="H334" t="s">
        <v>80</v>
      </c>
      <c r="I334" s="2">
        <v>0.5</v>
      </c>
      <c r="J334" t="s">
        <v>82</v>
      </c>
      <c r="K334" t="s">
        <v>79</v>
      </c>
      <c r="L334" t="s">
        <v>16</v>
      </c>
      <c r="M334">
        <v>0</v>
      </c>
      <c r="N334">
        <v>6</v>
      </c>
      <c r="O334" t="s">
        <v>134</v>
      </c>
      <c r="P334" t="s">
        <v>16</v>
      </c>
      <c r="Q334" s="1" t="s">
        <v>68</v>
      </c>
      <c r="R334" t="s">
        <v>68</v>
      </c>
      <c r="S334" t="e">
        <f>IF(T334="","",INDEX('Backing 4'!U:U,MATCH(T334,'Backing 4'!T:T,0)))</f>
        <v>#N/A</v>
      </c>
      <c r="T334" t="str">
        <f t="shared" si="15"/>
        <v xml:space="preserve"> Junior Officer &amp; Sales &amp; Marketing</v>
      </c>
      <c r="U334" t="e">
        <f>IF(V334="","",INDEX('Backing 4'!Z:Z,MATCH(V334,'Backing 4'!Y:Y,0)))</f>
        <v>#N/A</v>
      </c>
      <c r="V334" t="str">
        <f t="shared" si="16"/>
        <v xml:space="preserve"> Junior Officer</v>
      </c>
      <c r="W334">
        <v>1</v>
      </c>
      <c r="X334" t="str">
        <f>IF(E334="Y","",IF(Y334="Y",INDEX('Backing 2'!B:B,MATCH(D334,'Backing 2'!C:C,0)),D334))</f>
        <v xml:space="preserve"> Junior Officer</v>
      </c>
      <c r="Y334" t="s">
        <v>81</v>
      </c>
      <c r="Z334">
        <v>0</v>
      </c>
      <c r="AA334" t="s">
        <v>69</v>
      </c>
      <c r="AB334">
        <v>26</v>
      </c>
      <c r="AC334" t="s">
        <v>19</v>
      </c>
      <c r="AD334" t="s">
        <v>19</v>
      </c>
      <c r="AE334" t="s">
        <v>19</v>
      </c>
      <c r="AF334" s="3">
        <v>43556</v>
      </c>
      <c r="AG334">
        <v>1</v>
      </c>
      <c r="AH334">
        <f t="shared" ca="1" si="17"/>
        <v>0.66374672627099951</v>
      </c>
    </row>
    <row r="335" spans="1:34">
      <c r="A335">
        <v>334</v>
      </c>
      <c r="B335" t="s">
        <v>8</v>
      </c>
      <c r="C335">
        <v>6</v>
      </c>
      <c r="D335" t="s">
        <v>134</v>
      </c>
      <c r="E335" t="s">
        <v>81</v>
      </c>
      <c r="F335">
        <v>3</v>
      </c>
      <c r="G335" t="s">
        <v>82</v>
      </c>
      <c r="H335" t="s">
        <v>80</v>
      </c>
      <c r="I335" s="2">
        <v>0.5</v>
      </c>
      <c r="J335" t="s">
        <v>82</v>
      </c>
      <c r="K335" t="s">
        <v>79</v>
      </c>
      <c r="L335" t="s">
        <v>15</v>
      </c>
      <c r="M335">
        <v>0</v>
      </c>
      <c r="N335">
        <v>6</v>
      </c>
      <c r="O335" t="s">
        <v>134</v>
      </c>
      <c r="P335" t="s">
        <v>15</v>
      </c>
      <c r="Q335" s="1" t="s">
        <v>68</v>
      </c>
      <c r="R335" t="s">
        <v>68</v>
      </c>
      <c r="S335" t="e">
        <f>IF(T335="","",INDEX('Backing 4'!U:U,MATCH(T335,'Backing 4'!T:T,0)))</f>
        <v>#N/A</v>
      </c>
      <c r="T335" t="str">
        <f t="shared" si="15"/>
        <v xml:space="preserve"> Junior Officer &amp; Internal Services</v>
      </c>
      <c r="U335" t="e">
        <f>IF(V335="","",INDEX('Backing 4'!Z:Z,MATCH(V335,'Backing 4'!Y:Y,0)))</f>
        <v>#N/A</v>
      </c>
      <c r="V335" t="str">
        <f t="shared" si="16"/>
        <v xml:space="preserve"> Junior Officer</v>
      </c>
      <c r="W335">
        <v>2</v>
      </c>
      <c r="X335" t="str">
        <f>IF(E335="Y","",IF(Y335="Y",INDEX('Backing 2'!B:B,MATCH(D335,'Backing 2'!C:C,0)),D335))</f>
        <v xml:space="preserve"> Junior Officer</v>
      </c>
      <c r="Y335" t="s">
        <v>81</v>
      </c>
      <c r="Z335">
        <v>4</v>
      </c>
      <c r="AA335" t="s">
        <v>129</v>
      </c>
      <c r="AB335">
        <v>19</v>
      </c>
      <c r="AC335" t="s">
        <v>30</v>
      </c>
      <c r="AD335" t="s">
        <v>74</v>
      </c>
      <c r="AE335" t="s">
        <v>74</v>
      </c>
      <c r="AF335" s="3">
        <v>43191</v>
      </c>
      <c r="AG335">
        <v>2</v>
      </c>
      <c r="AH335">
        <f t="shared" ca="1" si="17"/>
        <v>0.24356434080321576</v>
      </c>
    </row>
    <row r="336" spans="1:34">
      <c r="A336">
        <v>335</v>
      </c>
      <c r="B336" t="s">
        <v>7</v>
      </c>
      <c r="C336">
        <v>6</v>
      </c>
      <c r="D336" t="s">
        <v>134</v>
      </c>
      <c r="E336" t="s">
        <v>81</v>
      </c>
      <c r="F336">
        <v>3</v>
      </c>
      <c r="G336" t="s">
        <v>82</v>
      </c>
      <c r="H336" t="s">
        <v>80</v>
      </c>
      <c r="I336" s="2">
        <v>0.5</v>
      </c>
      <c r="J336" t="s">
        <v>82</v>
      </c>
      <c r="K336" t="s">
        <v>79</v>
      </c>
      <c r="L336" t="s">
        <v>14</v>
      </c>
      <c r="M336">
        <v>0</v>
      </c>
      <c r="N336">
        <v>6</v>
      </c>
      <c r="O336" t="s">
        <v>134</v>
      </c>
      <c r="P336" t="s">
        <v>14</v>
      </c>
      <c r="Q336" s="1" t="s">
        <v>68</v>
      </c>
      <c r="R336" t="s">
        <v>68</v>
      </c>
      <c r="S336" t="e">
        <f>IF(T336="","",INDEX('Backing 4'!U:U,MATCH(T336,'Backing 4'!T:T,0)))</f>
        <v>#N/A</v>
      </c>
      <c r="T336" t="str">
        <f t="shared" si="15"/>
        <v xml:space="preserve"> Junior Officer &amp; Operations</v>
      </c>
      <c r="U336" t="e">
        <f>IF(V336="","",INDEX('Backing 4'!Z:Z,MATCH(V336,'Backing 4'!Y:Y,0)))</f>
        <v>#N/A</v>
      </c>
      <c r="V336" t="str">
        <f t="shared" si="16"/>
        <v xml:space="preserve"> Junior Officer</v>
      </c>
      <c r="W336">
        <v>3</v>
      </c>
      <c r="X336" t="str">
        <f>IF(E336="Y","",IF(Y336="Y",INDEX('Backing 2'!B:B,MATCH(D336,'Backing 2'!C:C,0)),D336))</f>
        <v xml:space="preserve"> Junior Officer</v>
      </c>
      <c r="Y336" t="s">
        <v>81</v>
      </c>
      <c r="Z336">
        <v>2</v>
      </c>
      <c r="AA336" t="s">
        <v>69</v>
      </c>
      <c r="AB336">
        <v>22</v>
      </c>
      <c r="AC336" t="s">
        <v>19</v>
      </c>
      <c r="AD336" t="s">
        <v>19</v>
      </c>
      <c r="AE336" t="s">
        <v>19</v>
      </c>
      <c r="AF336" s="3">
        <v>42826</v>
      </c>
      <c r="AG336">
        <v>3</v>
      </c>
      <c r="AH336">
        <f t="shared" ca="1" si="17"/>
        <v>0.83953048106532047</v>
      </c>
    </row>
    <row r="337" spans="1:34">
      <c r="A337">
        <v>336</v>
      </c>
      <c r="B337" t="s">
        <v>8</v>
      </c>
      <c r="C337">
        <v>6</v>
      </c>
      <c r="D337" t="s">
        <v>134</v>
      </c>
      <c r="E337" t="s">
        <v>81</v>
      </c>
      <c r="F337">
        <v>2</v>
      </c>
      <c r="G337" t="s">
        <v>82</v>
      </c>
      <c r="H337" t="s">
        <v>80</v>
      </c>
      <c r="I337" s="2">
        <v>0.5</v>
      </c>
      <c r="J337" t="s">
        <v>82</v>
      </c>
      <c r="K337" t="s">
        <v>79</v>
      </c>
      <c r="L337" t="s">
        <v>16</v>
      </c>
      <c r="M337">
        <v>0</v>
      </c>
      <c r="N337">
        <v>6</v>
      </c>
      <c r="O337" t="s">
        <v>134</v>
      </c>
      <c r="P337" t="s">
        <v>16</v>
      </c>
      <c r="Q337" s="1" t="s">
        <v>68</v>
      </c>
      <c r="R337" t="s">
        <v>68</v>
      </c>
      <c r="S337" t="e">
        <f>IF(T337="","",INDEX('Backing 4'!U:U,MATCH(T337,'Backing 4'!T:T,0)))</f>
        <v>#N/A</v>
      </c>
      <c r="T337" t="str">
        <f t="shared" si="15"/>
        <v xml:space="preserve"> Junior Officer &amp; Sales &amp; Marketing</v>
      </c>
      <c r="U337" t="e">
        <f>IF(V337="","",INDEX('Backing 4'!Z:Z,MATCH(V337,'Backing 4'!Y:Y,0)))</f>
        <v>#N/A</v>
      </c>
      <c r="V337" t="str">
        <f t="shared" si="16"/>
        <v xml:space="preserve"> Junior Officer</v>
      </c>
      <c r="W337">
        <v>3</v>
      </c>
      <c r="X337" t="str">
        <f>IF(E337="Y","",IF(Y337="Y",INDEX('Backing 2'!B:B,MATCH(D337,'Backing 2'!C:C,0)),D337))</f>
        <v xml:space="preserve"> Junior Officer</v>
      </c>
      <c r="Y337" t="s">
        <v>81</v>
      </c>
      <c r="Z337">
        <v>3</v>
      </c>
      <c r="AA337" t="s">
        <v>69</v>
      </c>
      <c r="AB337">
        <v>21</v>
      </c>
      <c r="AC337" t="s">
        <v>31</v>
      </c>
      <c r="AD337" t="s">
        <v>74</v>
      </c>
      <c r="AE337" t="s">
        <v>74</v>
      </c>
      <c r="AF337" s="3">
        <v>42826</v>
      </c>
      <c r="AG337">
        <v>3</v>
      </c>
      <c r="AH337">
        <f t="shared" ca="1" si="17"/>
        <v>0.23415851802285903</v>
      </c>
    </row>
    <row r="338" spans="1:34">
      <c r="A338">
        <v>337</v>
      </c>
      <c r="B338" t="s">
        <v>8</v>
      </c>
      <c r="C338">
        <v>2</v>
      </c>
      <c r="D338" t="s">
        <v>136</v>
      </c>
      <c r="E338" t="s">
        <v>81</v>
      </c>
      <c r="F338">
        <v>2</v>
      </c>
      <c r="G338" t="s">
        <v>82</v>
      </c>
      <c r="H338" t="s">
        <v>80</v>
      </c>
      <c r="I338" s="2">
        <v>0.5</v>
      </c>
      <c r="J338" t="s">
        <v>82</v>
      </c>
      <c r="K338" t="s">
        <v>79</v>
      </c>
      <c r="L338" t="s">
        <v>17</v>
      </c>
      <c r="M338">
        <v>0</v>
      </c>
      <c r="N338">
        <v>2</v>
      </c>
      <c r="O338" t="s">
        <v>136</v>
      </c>
      <c r="P338" t="s">
        <v>17</v>
      </c>
      <c r="Q338" s="1" t="s">
        <v>68</v>
      </c>
      <c r="R338" t="s">
        <v>68</v>
      </c>
      <c r="S338" t="e">
        <f>IF(T338="","",INDEX('Backing 4'!U:U,MATCH(T338,'Backing 4'!T:T,0)))</f>
        <v>#N/A</v>
      </c>
      <c r="T338" t="str">
        <f t="shared" si="15"/>
        <v xml:space="preserve"> Director &amp; Strategy</v>
      </c>
      <c r="U338" t="s">
        <v>120</v>
      </c>
      <c r="V338" t="str">
        <f t="shared" si="16"/>
        <v xml:space="preserve"> Director</v>
      </c>
      <c r="W338">
        <v>4</v>
      </c>
      <c r="X338" t="str">
        <f>IF(E338="Y","",IF(Y338="Y",INDEX('Backing 2'!B:B,MATCH(D338,'Backing 2'!C:C,0)),D338))</f>
        <v xml:space="preserve"> Director</v>
      </c>
      <c r="Y338" t="s">
        <v>81</v>
      </c>
      <c r="Z338">
        <v>0</v>
      </c>
      <c r="AA338" t="s">
        <v>71</v>
      </c>
      <c r="AB338">
        <v>43</v>
      </c>
      <c r="AC338" t="s">
        <v>19</v>
      </c>
      <c r="AD338" t="s">
        <v>19</v>
      </c>
      <c r="AE338" t="s">
        <v>19</v>
      </c>
      <c r="AF338" s="3">
        <v>42461</v>
      </c>
      <c r="AG338">
        <v>4</v>
      </c>
      <c r="AH338">
        <f t="shared" ca="1" si="17"/>
        <v>0.36521470718156612</v>
      </c>
    </row>
    <row r="339" spans="1:34">
      <c r="A339">
        <v>338</v>
      </c>
      <c r="B339" t="s">
        <v>7</v>
      </c>
      <c r="C339">
        <v>6</v>
      </c>
      <c r="D339" t="s">
        <v>134</v>
      </c>
      <c r="E339" t="s">
        <v>81</v>
      </c>
      <c r="F339">
        <v>2</v>
      </c>
      <c r="G339" t="s">
        <v>82</v>
      </c>
      <c r="H339" t="s">
        <v>80</v>
      </c>
      <c r="I339" s="2">
        <v>0.5</v>
      </c>
      <c r="J339" t="s">
        <v>82</v>
      </c>
      <c r="K339" t="s">
        <v>79</v>
      </c>
      <c r="L339" t="s">
        <v>14</v>
      </c>
      <c r="M339">
        <v>0</v>
      </c>
      <c r="N339">
        <v>6</v>
      </c>
      <c r="O339" t="s">
        <v>134</v>
      </c>
      <c r="P339" t="s">
        <v>14</v>
      </c>
      <c r="Q339" s="1" t="s">
        <v>68</v>
      </c>
      <c r="R339" t="s">
        <v>68</v>
      </c>
      <c r="S339" t="e">
        <f>IF(T339="","",INDEX('Backing 4'!U:U,MATCH(T339,'Backing 4'!T:T,0)))</f>
        <v>#N/A</v>
      </c>
      <c r="T339" t="str">
        <f t="shared" si="15"/>
        <v xml:space="preserve"> Junior Officer &amp; Operations</v>
      </c>
      <c r="U339" t="e">
        <f>IF(V339="","",INDEX('Backing 4'!Z:Z,MATCH(V339,'Backing 4'!Y:Y,0)))</f>
        <v>#N/A</v>
      </c>
      <c r="V339" t="str">
        <f t="shared" si="16"/>
        <v xml:space="preserve"> Junior Officer</v>
      </c>
      <c r="W339">
        <v>2</v>
      </c>
      <c r="X339" t="str">
        <f>IF(E339="Y","",IF(Y339="Y",INDEX('Backing 2'!B:B,MATCH(D339,'Backing 2'!C:C,0)),D339))</f>
        <v xml:space="preserve"> Junior Officer</v>
      </c>
      <c r="Y339" t="s">
        <v>81</v>
      </c>
      <c r="Z339">
        <v>3</v>
      </c>
      <c r="AA339" t="s">
        <v>69</v>
      </c>
      <c r="AB339">
        <v>26</v>
      </c>
      <c r="AC339" t="s">
        <v>31</v>
      </c>
      <c r="AD339" t="s">
        <v>74</v>
      </c>
      <c r="AE339" t="s">
        <v>74</v>
      </c>
      <c r="AF339" s="3">
        <v>43191</v>
      </c>
      <c r="AG339">
        <v>2</v>
      </c>
      <c r="AH339">
        <f t="shared" ca="1" si="17"/>
        <v>0.23963901081184114</v>
      </c>
    </row>
    <row r="340" spans="1:34">
      <c r="A340">
        <v>339</v>
      </c>
      <c r="B340" t="s">
        <v>7</v>
      </c>
      <c r="C340">
        <v>4</v>
      </c>
      <c r="D340" t="s">
        <v>135</v>
      </c>
      <c r="E340" t="s">
        <v>81</v>
      </c>
      <c r="F340">
        <v>3</v>
      </c>
      <c r="G340" t="s">
        <v>82</v>
      </c>
      <c r="H340" t="s">
        <v>80</v>
      </c>
      <c r="I340" s="2">
        <v>0.5</v>
      </c>
      <c r="J340" t="s">
        <v>82</v>
      </c>
      <c r="K340" t="s">
        <v>79</v>
      </c>
      <c r="L340" t="s">
        <v>16</v>
      </c>
      <c r="M340">
        <v>0</v>
      </c>
      <c r="N340">
        <v>4</v>
      </c>
      <c r="O340" t="s">
        <v>135</v>
      </c>
      <c r="P340" t="s">
        <v>16</v>
      </c>
      <c r="Q340" s="1" t="s">
        <v>68</v>
      </c>
      <c r="R340" t="s">
        <v>68</v>
      </c>
      <c r="S340" t="e">
        <f>IF(T340="","",INDEX('Backing 4'!U:U,MATCH(T340,'Backing 4'!T:T,0)))</f>
        <v>#N/A</v>
      </c>
      <c r="T340" t="str">
        <f t="shared" si="15"/>
        <v xml:space="preserve"> Manager &amp; Sales &amp; Marketing</v>
      </c>
      <c r="U340" t="e">
        <f>IF(V340="","",INDEX('Backing 4'!Z:Z,MATCH(V340,'Backing 4'!Y:Y,0)))</f>
        <v>#N/A</v>
      </c>
      <c r="V340" t="str">
        <f t="shared" si="16"/>
        <v xml:space="preserve"> Manager</v>
      </c>
      <c r="W340">
        <v>3</v>
      </c>
      <c r="X340" t="str">
        <f>IF(E340="Y","",IF(Y340="Y",INDEX('Backing 2'!B:B,MATCH(D340,'Backing 2'!C:C,0)),D340))</f>
        <v xml:space="preserve"> Manager</v>
      </c>
      <c r="Y340" t="s">
        <v>81</v>
      </c>
      <c r="Z340">
        <v>3</v>
      </c>
      <c r="AA340" t="s">
        <v>70</v>
      </c>
      <c r="AB340">
        <v>35</v>
      </c>
      <c r="AC340" t="s">
        <v>19</v>
      </c>
      <c r="AD340" t="s">
        <v>19</v>
      </c>
      <c r="AE340" t="s">
        <v>19</v>
      </c>
      <c r="AF340" s="3">
        <v>42461</v>
      </c>
      <c r="AG340">
        <v>4</v>
      </c>
      <c r="AH340">
        <f t="shared" ca="1" si="17"/>
        <v>0.97692538554699437</v>
      </c>
    </row>
    <row r="341" spans="1:34">
      <c r="A341">
        <v>340</v>
      </c>
      <c r="B341" t="s">
        <v>8</v>
      </c>
      <c r="C341">
        <v>5</v>
      </c>
      <c r="D341" t="s">
        <v>138</v>
      </c>
      <c r="E341" t="s">
        <v>81</v>
      </c>
      <c r="F341">
        <v>2</v>
      </c>
      <c r="G341" t="s">
        <v>82</v>
      </c>
      <c r="H341" t="s">
        <v>80</v>
      </c>
      <c r="I341" s="2">
        <v>0.5</v>
      </c>
      <c r="J341" t="s">
        <v>82</v>
      </c>
      <c r="K341" t="s">
        <v>79</v>
      </c>
      <c r="L341" t="s">
        <v>15</v>
      </c>
      <c r="M341">
        <v>0</v>
      </c>
      <c r="N341">
        <v>5</v>
      </c>
      <c r="O341" t="s">
        <v>138</v>
      </c>
      <c r="P341" t="s">
        <v>15</v>
      </c>
      <c r="Q341" s="1" t="s">
        <v>68</v>
      </c>
      <c r="R341" t="s">
        <v>68</v>
      </c>
      <c r="S341" t="e">
        <f>IF(T341="","",INDEX('Backing 4'!U:U,MATCH(T341,'Backing 4'!T:T,0)))</f>
        <v>#N/A</v>
      </c>
      <c r="T341" t="str">
        <f t="shared" si="15"/>
        <v xml:space="preserve"> Senior Officer &amp; Internal Services</v>
      </c>
      <c r="U341" t="e">
        <f>IF(V341="","",INDEX('Backing 4'!Z:Z,MATCH(V341,'Backing 4'!Y:Y,0)))</f>
        <v>#N/A</v>
      </c>
      <c r="V341" t="str">
        <f t="shared" si="16"/>
        <v xml:space="preserve"> Senior Officer</v>
      </c>
      <c r="W341">
        <v>2</v>
      </c>
      <c r="X341" t="str">
        <f>IF(E341="Y","",IF(Y341="Y",INDEX('Backing 2'!B:B,MATCH(D341,'Backing 2'!C:C,0)),D341))</f>
        <v xml:space="preserve"> Senior Officer</v>
      </c>
      <c r="Y341" t="s">
        <v>81</v>
      </c>
      <c r="Z341">
        <v>2</v>
      </c>
      <c r="AA341" t="s">
        <v>69</v>
      </c>
      <c r="AB341">
        <v>25</v>
      </c>
      <c r="AC341" t="s">
        <v>31</v>
      </c>
      <c r="AD341" t="s">
        <v>74</v>
      </c>
      <c r="AE341" t="s">
        <v>74</v>
      </c>
      <c r="AF341" s="3">
        <v>41730</v>
      </c>
      <c r="AG341">
        <v>6</v>
      </c>
      <c r="AH341">
        <f t="shared" ca="1" si="17"/>
        <v>0.29451504470260914</v>
      </c>
    </row>
    <row r="342" spans="1:34">
      <c r="A342">
        <v>341</v>
      </c>
      <c r="B342" t="s">
        <v>7</v>
      </c>
      <c r="C342">
        <v>6</v>
      </c>
      <c r="D342" t="s">
        <v>134</v>
      </c>
      <c r="E342" t="s">
        <v>79</v>
      </c>
      <c r="F342">
        <v>0</v>
      </c>
      <c r="G342" t="s">
        <v>82</v>
      </c>
      <c r="H342" t="s">
        <v>82</v>
      </c>
      <c r="I342" s="2">
        <v>0.5</v>
      </c>
      <c r="J342" t="s">
        <v>82</v>
      </c>
      <c r="K342" t="s">
        <v>81</v>
      </c>
      <c r="L342" t="s">
        <v>16</v>
      </c>
      <c r="M342">
        <v>0</v>
      </c>
      <c r="N342">
        <v>6</v>
      </c>
      <c r="O342" t="s">
        <v>134</v>
      </c>
      <c r="P342" t="s">
        <v>16</v>
      </c>
      <c r="Q342" s="1" t="s">
        <v>68</v>
      </c>
      <c r="R342" t="s">
        <v>68</v>
      </c>
      <c r="S342" t="e">
        <f>IF(T342="","",INDEX('Backing 4'!U:U,MATCH(T342,'Backing 4'!T:T,0)))</f>
        <v>#N/A</v>
      </c>
      <c r="T342" t="str">
        <f t="shared" si="15"/>
        <v xml:space="preserve"> Junior Officer &amp; Sales &amp; Marketing</v>
      </c>
      <c r="U342" t="e">
        <f>IF(V342="","",INDEX('Backing 4'!Z:Z,MATCH(V342,'Backing 4'!Y:Y,0)))</f>
        <v>#N/A</v>
      </c>
      <c r="V342" t="str">
        <f t="shared" si="16"/>
        <v xml:space="preserve"> Junior Officer</v>
      </c>
      <c r="W342">
        <v>0</v>
      </c>
      <c r="X342" t="str">
        <f>IF(E342="Y","",IF(Y342="Y",INDEX('Backing 2'!B:B,MATCH(D342,'Backing 2'!C:C,0)),D342))</f>
        <v/>
      </c>
      <c r="Y342" t="s">
        <v>81</v>
      </c>
      <c r="Z342">
        <v>0</v>
      </c>
      <c r="AA342" t="s">
        <v>69</v>
      </c>
      <c r="AB342">
        <v>26</v>
      </c>
      <c r="AC342" t="s">
        <v>19</v>
      </c>
      <c r="AD342" t="s">
        <v>19</v>
      </c>
      <c r="AE342" t="s">
        <v>19</v>
      </c>
      <c r="AF342" s="3">
        <v>43922</v>
      </c>
      <c r="AG342">
        <v>0</v>
      </c>
      <c r="AH342">
        <f t="shared" ca="1" si="17"/>
        <v>0.12145727300151032</v>
      </c>
    </row>
    <row r="343" spans="1:34">
      <c r="A343">
        <v>342</v>
      </c>
      <c r="B343" t="s">
        <v>7</v>
      </c>
      <c r="C343">
        <v>4</v>
      </c>
      <c r="D343" t="s">
        <v>135</v>
      </c>
      <c r="E343" t="s">
        <v>81</v>
      </c>
      <c r="F343">
        <v>3</v>
      </c>
      <c r="G343" t="s">
        <v>82</v>
      </c>
      <c r="H343" t="s">
        <v>80</v>
      </c>
      <c r="I343" s="2">
        <v>0.5</v>
      </c>
      <c r="J343" t="s">
        <v>82</v>
      </c>
      <c r="K343" t="s">
        <v>79</v>
      </c>
      <c r="L343" t="s">
        <v>12</v>
      </c>
      <c r="M343">
        <v>0</v>
      </c>
      <c r="N343">
        <v>4</v>
      </c>
      <c r="O343" t="s">
        <v>135</v>
      </c>
      <c r="P343" t="s">
        <v>12</v>
      </c>
      <c r="Q343" s="1">
        <v>0.9</v>
      </c>
      <c r="R343" t="s">
        <v>67</v>
      </c>
      <c r="S343" t="e">
        <f>IF(T343="","",INDEX('Backing 4'!U:U,MATCH(T343,'Backing 4'!T:T,0)))</f>
        <v>#N/A</v>
      </c>
      <c r="T343" t="str">
        <f t="shared" si="15"/>
        <v xml:space="preserve"> Manager &amp; Finance</v>
      </c>
      <c r="U343" t="e">
        <f>IF(V343="","",INDEX('Backing 4'!Z:Z,MATCH(V343,'Backing 4'!Y:Y,0)))</f>
        <v>#N/A</v>
      </c>
      <c r="V343" t="str">
        <f t="shared" si="16"/>
        <v xml:space="preserve"> Manager</v>
      </c>
      <c r="W343">
        <v>3</v>
      </c>
      <c r="X343" t="str">
        <f>IF(E343="Y","",IF(Y343="Y",INDEX('Backing 2'!B:B,MATCH(D343,'Backing 2'!C:C,0)),D343))</f>
        <v xml:space="preserve"> Manager</v>
      </c>
      <c r="Y343" t="s">
        <v>81</v>
      </c>
      <c r="Z343">
        <v>3</v>
      </c>
      <c r="AA343" t="s">
        <v>70</v>
      </c>
      <c r="AB343">
        <v>36</v>
      </c>
      <c r="AC343" t="s">
        <v>19</v>
      </c>
      <c r="AD343" t="s">
        <v>19</v>
      </c>
      <c r="AE343" t="s">
        <v>19</v>
      </c>
      <c r="AF343" s="3">
        <v>42826</v>
      </c>
      <c r="AG343">
        <v>3</v>
      </c>
      <c r="AH343">
        <f t="shared" ca="1" si="17"/>
        <v>0.64552188056892323</v>
      </c>
    </row>
    <row r="344" spans="1:34">
      <c r="A344">
        <v>343</v>
      </c>
      <c r="B344" t="s">
        <v>7</v>
      </c>
      <c r="C344">
        <v>1</v>
      </c>
      <c r="D344" t="s">
        <v>139</v>
      </c>
      <c r="E344" t="s">
        <v>81</v>
      </c>
      <c r="F344">
        <v>0</v>
      </c>
      <c r="G344" t="s">
        <v>82</v>
      </c>
      <c r="H344" t="s">
        <v>82</v>
      </c>
      <c r="I344" s="2">
        <v>0.5</v>
      </c>
      <c r="J344" t="s">
        <v>82</v>
      </c>
      <c r="K344" t="s">
        <v>79</v>
      </c>
      <c r="L344" t="s">
        <v>13</v>
      </c>
      <c r="M344">
        <v>0</v>
      </c>
      <c r="N344">
        <v>1</v>
      </c>
      <c r="O344" t="s">
        <v>139</v>
      </c>
      <c r="P344" t="s">
        <v>13</v>
      </c>
      <c r="Q344" s="1" t="s">
        <v>68</v>
      </c>
      <c r="R344" t="s">
        <v>68</v>
      </c>
      <c r="S344" t="e">
        <f>IF(T344="","",INDEX('Backing 4'!U:U,MATCH(T344,'Backing 4'!T:T,0)))</f>
        <v>#N/A</v>
      </c>
      <c r="T344" t="str">
        <f t="shared" si="15"/>
        <v xml:space="preserve"> Executive &amp; HR</v>
      </c>
      <c r="U344" t="e">
        <f>IF(V344="","",INDEX('Backing 4'!Z:Z,MATCH(V344,'Backing 4'!Y:Y,0)))</f>
        <v>#N/A</v>
      </c>
      <c r="V344" t="str">
        <f t="shared" si="16"/>
        <v xml:space="preserve"> Executive</v>
      </c>
      <c r="W344">
        <v>2</v>
      </c>
      <c r="X344" t="str">
        <f>IF(E344="Y","",IF(Y344="Y",INDEX('Backing 2'!B:B,MATCH(D344,'Backing 2'!C:C,0)),D344))</f>
        <v xml:space="preserve"> Executive</v>
      </c>
      <c r="Y344" t="s">
        <v>81</v>
      </c>
      <c r="Z344">
        <v>2</v>
      </c>
      <c r="AA344" t="s">
        <v>71</v>
      </c>
      <c r="AB344">
        <v>47</v>
      </c>
      <c r="AC344" t="s">
        <v>19</v>
      </c>
      <c r="AD344" t="s">
        <v>19</v>
      </c>
      <c r="AE344" t="s">
        <v>19</v>
      </c>
      <c r="AF344" s="3">
        <v>42826</v>
      </c>
      <c r="AG344">
        <v>3</v>
      </c>
      <c r="AH344">
        <f t="shared" ca="1" si="17"/>
        <v>0.46828596060319283</v>
      </c>
    </row>
    <row r="345" spans="1:34">
      <c r="A345">
        <v>344</v>
      </c>
      <c r="B345" t="s">
        <v>8</v>
      </c>
      <c r="C345">
        <v>5</v>
      </c>
      <c r="D345" t="s">
        <v>138</v>
      </c>
      <c r="E345" t="s">
        <v>81</v>
      </c>
      <c r="F345">
        <v>2</v>
      </c>
      <c r="G345" t="s">
        <v>80</v>
      </c>
      <c r="H345" t="s">
        <v>80</v>
      </c>
      <c r="I345" s="2">
        <v>0.5</v>
      </c>
      <c r="J345" t="s">
        <v>82</v>
      </c>
      <c r="K345" t="s">
        <v>79</v>
      </c>
      <c r="L345" t="s">
        <v>14</v>
      </c>
      <c r="M345">
        <v>0</v>
      </c>
      <c r="N345">
        <v>4</v>
      </c>
      <c r="O345" t="s">
        <v>135</v>
      </c>
      <c r="P345" t="s">
        <v>14</v>
      </c>
      <c r="Q345" s="1" t="s">
        <v>68</v>
      </c>
      <c r="R345" t="s">
        <v>68</v>
      </c>
      <c r="S345" t="e">
        <f>IF(T345="","",INDEX('Backing 4'!U:U,MATCH(T345,'Backing 4'!T:T,0)))</f>
        <v>#N/A</v>
      </c>
      <c r="T345" t="str">
        <f t="shared" si="15"/>
        <v xml:space="preserve"> Senior Officer &amp; Operations</v>
      </c>
      <c r="U345" t="e">
        <f>IF(V345="","",INDEX('Backing 4'!Z:Z,MATCH(V345,'Backing 4'!Y:Y,0)))</f>
        <v>#N/A</v>
      </c>
      <c r="V345" t="str">
        <f t="shared" si="16"/>
        <v xml:space="preserve"> Senior Officer</v>
      </c>
      <c r="W345">
        <v>1</v>
      </c>
      <c r="X345" t="str">
        <f>IF(E345="Y","",IF(Y345="Y",INDEX('Backing 2'!B:B,MATCH(D345,'Backing 2'!C:C,0)),D345))</f>
        <v xml:space="preserve"> Senior Officer</v>
      </c>
      <c r="Y345" t="s">
        <v>81</v>
      </c>
      <c r="Z345">
        <v>0</v>
      </c>
      <c r="AA345" t="s">
        <v>70</v>
      </c>
      <c r="AB345">
        <v>35</v>
      </c>
      <c r="AC345" t="s">
        <v>30</v>
      </c>
      <c r="AD345" t="s">
        <v>74</v>
      </c>
      <c r="AE345" t="s">
        <v>74</v>
      </c>
      <c r="AF345" s="3">
        <v>43556</v>
      </c>
      <c r="AG345">
        <v>1</v>
      </c>
      <c r="AH345">
        <f t="shared" ca="1" si="17"/>
        <v>0.16515696712728711</v>
      </c>
    </row>
    <row r="346" spans="1:34">
      <c r="A346">
        <v>345</v>
      </c>
      <c r="B346" t="s">
        <v>7</v>
      </c>
      <c r="C346">
        <v>6</v>
      </c>
      <c r="D346" t="s">
        <v>134</v>
      </c>
      <c r="E346" t="s">
        <v>81</v>
      </c>
      <c r="F346">
        <v>2</v>
      </c>
      <c r="G346" t="s">
        <v>82</v>
      </c>
      <c r="H346" t="s">
        <v>80</v>
      </c>
      <c r="I346" s="2">
        <v>0.5</v>
      </c>
      <c r="J346" t="s">
        <v>82</v>
      </c>
      <c r="K346" t="s">
        <v>79</v>
      </c>
      <c r="L346" t="s">
        <v>16</v>
      </c>
      <c r="M346">
        <v>0</v>
      </c>
      <c r="N346">
        <v>6</v>
      </c>
      <c r="O346" t="s">
        <v>134</v>
      </c>
      <c r="P346" t="s">
        <v>16</v>
      </c>
      <c r="Q346" s="1" t="s">
        <v>68</v>
      </c>
      <c r="R346" t="s">
        <v>68</v>
      </c>
      <c r="S346" t="e">
        <f>IF(T346="","",INDEX('Backing 4'!U:U,MATCH(T346,'Backing 4'!T:T,0)))</f>
        <v>#N/A</v>
      </c>
      <c r="T346" t="str">
        <f t="shared" si="15"/>
        <v xml:space="preserve"> Junior Officer &amp; Sales &amp; Marketing</v>
      </c>
      <c r="U346" t="e">
        <f>IF(V346="","",INDEX('Backing 4'!Z:Z,MATCH(V346,'Backing 4'!Y:Y,0)))</f>
        <v>#N/A</v>
      </c>
      <c r="V346" t="str">
        <f t="shared" si="16"/>
        <v xml:space="preserve"> Junior Officer</v>
      </c>
      <c r="W346">
        <v>3</v>
      </c>
      <c r="X346" t="str">
        <f>IF(E346="Y","",IF(Y346="Y",INDEX('Backing 2'!B:B,MATCH(D346,'Backing 2'!C:C,0)),D346))</f>
        <v xml:space="preserve"> Junior Officer</v>
      </c>
      <c r="Y346" t="s">
        <v>81</v>
      </c>
      <c r="Z346">
        <v>3</v>
      </c>
      <c r="AA346" t="s">
        <v>69</v>
      </c>
      <c r="AB346">
        <v>22</v>
      </c>
      <c r="AC346" t="s">
        <v>19</v>
      </c>
      <c r="AD346" t="s">
        <v>19</v>
      </c>
      <c r="AE346" t="s">
        <v>19</v>
      </c>
      <c r="AF346" s="3">
        <v>42826</v>
      </c>
      <c r="AG346">
        <v>3</v>
      </c>
      <c r="AH346">
        <f t="shared" ca="1" si="17"/>
        <v>6.2681797189462207E-3</v>
      </c>
    </row>
    <row r="347" spans="1:34">
      <c r="A347">
        <v>346</v>
      </c>
      <c r="B347" t="s">
        <v>8</v>
      </c>
      <c r="C347">
        <v>4</v>
      </c>
      <c r="D347" t="s">
        <v>135</v>
      </c>
      <c r="E347" t="s">
        <v>81</v>
      </c>
      <c r="F347">
        <v>3</v>
      </c>
      <c r="G347" t="s">
        <v>82</v>
      </c>
      <c r="H347" t="s">
        <v>80</v>
      </c>
      <c r="I347" s="2">
        <v>0.5</v>
      </c>
      <c r="J347" t="s">
        <v>82</v>
      </c>
      <c r="K347" t="s">
        <v>79</v>
      </c>
      <c r="L347" t="s">
        <v>15</v>
      </c>
      <c r="M347">
        <v>0</v>
      </c>
      <c r="N347">
        <v>4</v>
      </c>
      <c r="O347" t="s">
        <v>135</v>
      </c>
      <c r="P347" t="s">
        <v>15</v>
      </c>
      <c r="Q347" s="1" t="s">
        <v>68</v>
      </c>
      <c r="R347" t="s">
        <v>68</v>
      </c>
      <c r="S347" t="e">
        <f>IF(T347="","",INDEX('Backing 4'!U:U,MATCH(T347,'Backing 4'!T:T,0)))</f>
        <v>#N/A</v>
      </c>
      <c r="T347" t="str">
        <f t="shared" si="15"/>
        <v xml:space="preserve"> Manager &amp; Internal Services</v>
      </c>
      <c r="U347" t="e">
        <f>IF(V347="","",INDEX('Backing 4'!Z:Z,MATCH(V347,'Backing 4'!Y:Y,0)))</f>
        <v>#N/A</v>
      </c>
      <c r="V347" t="str">
        <f t="shared" si="16"/>
        <v xml:space="preserve"> Manager</v>
      </c>
      <c r="W347">
        <v>2</v>
      </c>
      <c r="X347" t="str">
        <f>IF(E347="Y","",IF(Y347="Y",INDEX('Backing 2'!B:B,MATCH(D347,'Backing 2'!C:C,0)),D347))</f>
        <v xml:space="preserve"> Manager</v>
      </c>
      <c r="Y347" t="s">
        <v>81</v>
      </c>
      <c r="Z347">
        <v>3</v>
      </c>
      <c r="AA347" t="s">
        <v>70</v>
      </c>
      <c r="AB347">
        <v>32</v>
      </c>
      <c r="AC347" t="s">
        <v>41</v>
      </c>
      <c r="AD347" t="s">
        <v>76</v>
      </c>
      <c r="AE347" t="s">
        <v>78</v>
      </c>
      <c r="AF347" s="3">
        <v>41365</v>
      </c>
      <c r="AG347">
        <v>7</v>
      </c>
      <c r="AH347">
        <f t="shared" ca="1" si="17"/>
        <v>0.47423759149159028</v>
      </c>
    </row>
    <row r="348" spans="1:34">
      <c r="A348">
        <v>347</v>
      </c>
      <c r="B348" t="s">
        <v>8</v>
      </c>
      <c r="C348">
        <v>3</v>
      </c>
      <c r="D348" t="s">
        <v>137</v>
      </c>
      <c r="E348" t="s">
        <v>81</v>
      </c>
      <c r="F348">
        <v>3</v>
      </c>
      <c r="G348" t="s">
        <v>82</v>
      </c>
      <c r="H348" t="s">
        <v>80</v>
      </c>
      <c r="I348" s="2">
        <v>0.5</v>
      </c>
      <c r="J348" t="s">
        <v>82</v>
      </c>
      <c r="K348" t="s">
        <v>79</v>
      </c>
      <c r="L348" t="s">
        <v>14</v>
      </c>
      <c r="M348">
        <v>0</v>
      </c>
      <c r="N348">
        <v>3</v>
      </c>
      <c r="O348" t="s">
        <v>137</v>
      </c>
      <c r="P348" t="s">
        <v>14</v>
      </c>
      <c r="Q348" s="1" t="s">
        <v>68</v>
      </c>
      <c r="R348" t="s">
        <v>68</v>
      </c>
      <c r="S348" t="e">
        <f>IF(T348="","",INDEX('Backing 4'!U:U,MATCH(T348,'Backing 4'!T:T,0)))</f>
        <v>#N/A</v>
      </c>
      <c r="T348" t="str">
        <f t="shared" si="15"/>
        <v xml:space="preserve"> Senior Manager &amp; Operations</v>
      </c>
      <c r="U348" t="e">
        <f>IF(V348="","",INDEX('Backing 4'!Z:Z,MATCH(V348,'Backing 4'!Y:Y,0)))</f>
        <v>#N/A</v>
      </c>
      <c r="V348" t="str">
        <f t="shared" si="16"/>
        <v xml:space="preserve"> Senior Manager</v>
      </c>
      <c r="W348">
        <v>3</v>
      </c>
      <c r="X348" t="str">
        <f>IF(E348="Y","",IF(Y348="Y",INDEX('Backing 2'!B:B,MATCH(D348,'Backing 2'!C:C,0)),D348))</f>
        <v xml:space="preserve"> Senior Manager</v>
      </c>
      <c r="Y348" t="s">
        <v>81</v>
      </c>
      <c r="Z348">
        <v>3</v>
      </c>
      <c r="AA348" t="s">
        <v>71</v>
      </c>
      <c r="AB348">
        <v>48</v>
      </c>
      <c r="AC348" t="s">
        <v>19</v>
      </c>
      <c r="AD348" t="s">
        <v>19</v>
      </c>
      <c r="AE348" t="s">
        <v>19</v>
      </c>
      <c r="AF348" s="3">
        <v>41730</v>
      </c>
      <c r="AG348">
        <v>6</v>
      </c>
      <c r="AH348">
        <f t="shared" ca="1" si="17"/>
        <v>0.55114940044002336</v>
      </c>
    </row>
    <row r="349" spans="1:34">
      <c r="A349">
        <v>348</v>
      </c>
      <c r="B349" t="s">
        <v>8</v>
      </c>
      <c r="C349">
        <v>5</v>
      </c>
      <c r="D349" t="s">
        <v>138</v>
      </c>
      <c r="E349" t="s">
        <v>81</v>
      </c>
      <c r="F349">
        <v>3</v>
      </c>
      <c r="G349" t="s">
        <v>82</v>
      </c>
      <c r="H349" t="s">
        <v>80</v>
      </c>
      <c r="I349" s="2">
        <v>0.5</v>
      </c>
      <c r="J349" t="s">
        <v>82</v>
      </c>
      <c r="K349" t="s">
        <v>79</v>
      </c>
      <c r="L349" t="s">
        <v>14</v>
      </c>
      <c r="M349">
        <v>0</v>
      </c>
      <c r="N349">
        <v>5</v>
      </c>
      <c r="O349" t="s">
        <v>138</v>
      </c>
      <c r="P349" t="s">
        <v>14</v>
      </c>
      <c r="Q349" s="1" t="s">
        <v>68</v>
      </c>
      <c r="R349" t="s">
        <v>68</v>
      </c>
      <c r="S349" t="e">
        <f>IF(T349="","",INDEX('Backing 4'!U:U,MATCH(T349,'Backing 4'!T:T,0)))</f>
        <v>#N/A</v>
      </c>
      <c r="T349" t="str">
        <f t="shared" si="15"/>
        <v xml:space="preserve"> Senior Officer &amp; Operations</v>
      </c>
      <c r="U349" t="e">
        <f>IF(V349="","",INDEX('Backing 4'!Z:Z,MATCH(V349,'Backing 4'!Y:Y,0)))</f>
        <v>#N/A</v>
      </c>
      <c r="V349" t="str">
        <f t="shared" si="16"/>
        <v xml:space="preserve"> Senior Officer</v>
      </c>
      <c r="W349">
        <v>4</v>
      </c>
      <c r="X349" t="str">
        <f>IF(E349="Y","",IF(Y349="Y",INDEX('Backing 2'!B:B,MATCH(D349,'Backing 2'!C:C,0)),D349))</f>
        <v xml:space="preserve"> Senior Officer</v>
      </c>
      <c r="Y349" t="s">
        <v>81</v>
      </c>
      <c r="Z349">
        <v>3</v>
      </c>
      <c r="AA349" t="s">
        <v>69</v>
      </c>
      <c r="AB349">
        <v>25</v>
      </c>
      <c r="AC349" t="s">
        <v>36</v>
      </c>
      <c r="AD349" t="s">
        <v>74</v>
      </c>
      <c r="AE349" t="s">
        <v>74</v>
      </c>
      <c r="AF349" s="3">
        <v>42461</v>
      </c>
      <c r="AG349">
        <v>4</v>
      </c>
      <c r="AH349">
        <f t="shared" ca="1" si="17"/>
        <v>0.20361680285208539</v>
      </c>
    </row>
    <row r="350" spans="1:34">
      <c r="A350">
        <v>349</v>
      </c>
      <c r="B350" t="s">
        <v>7</v>
      </c>
      <c r="C350">
        <v>6</v>
      </c>
      <c r="D350" t="s">
        <v>134</v>
      </c>
      <c r="E350" t="s">
        <v>81</v>
      </c>
      <c r="F350">
        <v>3</v>
      </c>
      <c r="G350" t="s">
        <v>82</v>
      </c>
      <c r="H350" t="s">
        <v>80</v>
      </c>
      <c r="I350" s="2">
        <v>0.5</v>
      </c>
      <c r="J350" t="s">
        <v>82</v>
      </c>
      <c r="K350" t="s">
        <v>79</v>
      </c>
      <c r="L350" t="s">
        <v>14</v>
      </c>
      <c r="M350">
        <v>0</v>
      </c>
      <c r="N350">
        <v>6</v>
      </c>
      <c r="O350" t="s">
        <v>134</v>
      </c>
      <c r="P350" t="s">
        <v>14</v>
      </c>
      <c r="Q350" s="1" t="s">
        <v>68</v>
      </c>
      <c r="R350" t="s">
        <v>68</v>
      </c>
      <c r="S350" t="e">
        <f>IF(T350="","",INDEX('Backing 4'!U:U,MATCH(T350,'Backing 4'!T:T,0)))</f>
        <v>#N/A</v>
      </c>
      <c r="T350" t="str">
        <f t="shared" si="15"/>
        <v xml:space="preserve"> Junior Officer &amp; Operations</v>
      </c>
      <c r="U350" t="e">
        <f>IF(V350="","",INDEX('Backing 4'!Z:Z,MATCH(V350,'Backing 4'!Y:Y,0)))</f>
        <v>#N/A</v>
      </c>
      <c r="V350" t="str">
        <f t="shared" si="16"/>
        <v xml:space="preserve"> Junior Officer</v>
      </c>
      <c r="W350">
        <v>3</v>
      </c>
      <c r="X350" t="str">
        <f>IF(E350="Y","",IF(Y350="Y",INDEX('Backing 2'!B:B,MATCH(D350,'Backing 2'!C:C,0)),D350))</f>
        <v xml:space="preserve"> Junior Officer</v>
      </c>
      <c r="Y350" t="s">
        <v>81</v>
      </c>
      <c r="Z350">
        <v>2</v>
      </c>
      <c r="AA350" t="s">
        <v>69</v>
      </c>
      <c r="AB350">
        <v>22</v>
      </c>
      <c r="AC350" t="s">
        <v>30</v>
      </c>
      <c r="AD350" t="s">
        <v>74</v>
      </c>
      <c r="AE350" t="s">
        <v>74</v>
      </c>
      <c r="AF350" s="3">
        <v>42826</v>
      </c>
      <c r="AG350">
        <v>3</v>
      </c>
      <c r="AH350">
        <f t="shared" ca="1" si="17"/>
        <v>0.72313941032923168</v>
      </c>
    </row>
    <row r="351" spans="1:34">
      <c r="A351">
        <v>350</v>
      </c>
      <c r="B351" t="s">
        <v>8</v>
      </c>
      <c r="C351">
        <v>6</v>
      </c>
      <c r="D351" s="4" t="s">
        <v>134</v>
      </c>
      <c r="E351" t="s">
        <v>81</v>
      </c>
      <c r="F351">
        <v>3</v>
      </c>
      <c r="G351" t="s">
        <v>82</v>
      </c>
      <c r="H351" t="s">
        <v>82</v>
      </c>
      <c r="I351" s="2">
        <v>0.5</v>
      </c>
      <c r="J351" t="s">
        <v>80</v>
      </c>
      <c r="K351" t="s">
        <v>79</v>
      </c>
      <c r="L351" t="s">
        <v>14</v>
      </c>
      <c r="M351" t="s">
        <v>83</v>
      </c>
      <c r="N351">
        <v>0</v>
      </c>
      <c r="O351" t="s">
        <v>142</v>
      </c>
      <c r="P351" t="s">
        <v>14</v>
      </c>
      <c r="Q351" s="1" t="s">
        <v>68</v>
      </c>
      <c r="R351" t="s">
        <v>68</v>
      </c>
      <c r="S351" t="e">
        <f>IF(T351="","",INDEX('Backing 4'!U:U,MATCH(T351,'Backing 4'!T:T,0)))</f>
        <v>#N/A</v>
      </c>
      <c r="T351" t="str">
        <f t="shared" si="15"/>
        <v xml:space="preserve"> Junior Officer &amp; Operations</v>
      </c>
      <c r="U351" t="e">
        <f>IF(V351="","",INDEX('Backing 4'!Z:Z,MATCH(V351,'Backing 4'!Y:Y,0)))</f>
        <v>#N/A</v>
      </c>
      <c r="V351" t="str">
        <f t="shared" si="16"/>
        <v xml:space="preserve"> Junior Officer</v>
      </c>
      <c r="W351">
        <v>2</v>
      </c>
      <c r="X351" t="str">
        <f>IF(E351="Y","",IF(Y351="Y",INDEX('Backing 2'!B:B,MATCH(D351,'Backing 2'!C:C,0)),D351))</f>
        <v xml:space="preserve"> Junior Officer</v>
      </c>
      <c r="Y351" t="s">
        <v>81</v>
      </c>
      <c r="Z351">
        <v>2</v>
      </c>
      <c r="AA351" t="s">
        <v>69</v>
      </c>
      <c r="AB351">
        <v>27</v>
      </c>
      <c r="AC351" t="s">
        <v>30</v>
      </c>
      <c r="AD351" t="s">
        <v>74</v>
      </c>
      <c r="AE351" t="s">
        <v>74</v>
      </c>
      <c r="AF351" s="3">
        <v>43191</v>
      </c>
      <c r="AG351">
        <v>2</v>
      </c>
      <c r="AH351">
        <f t="shared" ca="1" si="17"/>
        <v>0.7526139353768857</v>
      </c>
    </row>
    <row r="352" spans="1:34">
      <c r="A352">
        <v>351</v>
      </c>
      <c r="B352" t="s">
        <v>8</v>
      </c>
      <c r="C352">
        <v>4</v>
      </c>
      <c r="D352" t="s">
        <v>135</v>
      </c>
      <c r="E352" t="s">
        <v>81</v>
      </c>
      <c r="F352">
        <v>2</v>
      </c>
      <c r="G352" t="s">
        <v>82</v>
      </c>
      <c r="H352" t="s">
        <v>80</v>
      </c>
      <c r="I352" s="2">
        <v>0.5</v>
      </c>
      <c r="J352" t="s">
        <v>82</v>
      </c>
      <c r="K352" t="s">
        <v>79</v>
      </c>
      <c r="L352" t="s">
        <v>16</v>
      </c>
      <c r="M352">
        <v>0</v>
      </c>
      <c r="N352">
        <v>4</v>
      </c>
      <c r="O352" t="s">
        <v>135</v>
      </c>
      <c r="P352" t="s">
        <v>16</v>
      </c>
      <c r="Q352" s="1" t="s">
        <v>68</v>
      </c>
      <c r="R352" t="s">
        <v>68</v>
      </c>
      <c r="S352" t="e">
        <f>IF(T352="","",INDEX('Backing 4'!U:U,MATCH(T352,'Backing 4'!T:T,0)))</f>
        <v>#N/A</v>
      </c>
      <c r="T352" t="str">
        <f t="shared" si="15"/>
        <v xml:space="preserve"> Manager &amp; Sales &amp; Marketing</v>
      </c>
      <c r="U352" t="e">
        <f>IF(V352="","",INDEX('Backing 4'!Z:Z,MATCH(V352,'Backing 4'!Y:Y,0)))</f>
        <v>#N/A</v>
      </c>
      <c r="V352" t="str">
        <f t="shared" si="16"/>
        <v xml:space="preserve"> Manager</v>
      </c>
      <c r="W352">
        <v>4</v>
      </c>
      <c r="X352" t="str">
        <f>IF(E352="Y","",IF(Y352="Y",INDEX('Backing 2'!B:B,MATCH(D352,'Backing 2'!C:C,0)),D352))</f>
        <v xml:space="preserve"> Manager</v>
      </c>
      <c r="Y352" t="s">
        <v>81</v>
      </c>
      <c r="Z352">
        <v>2</v>
      </c>
      <c r="AA352" t="s">
        <v>70</v>
      </c>
      <c r="AB352">
        <v>36</v>
      </c>
      <c r="AC352" t="s">
        <v>30</v>
      </c>
      <c r="AD352" t="s">
        <v>74</v>
      </c>
      <c r="AE352" t="s">
        <v>74</v>
      </c>
      <c r="AF352" s="3">
        <v>42461</v>
      </c>
      <c r="AG352">
        <v>4</v>
      </c>
      <c r="AH352">
        <f t="shared" ca="1" si="17"/>
        <v>0.56884010878696156</v>
      </c>
    </row>
    <row r="353" spans="1:34">
      <c r="A353">
        <v>352</v>
      </c>
      <c r="B353" t="s">
        <v>8</v>
      </c>
      <c r="C353">
        <v>6</v>
      </c>
      <c r="D353" t="s">
        <v>134</v>
      </c>
      <c r="E353" t="s">
        <v>81</v>
      </c>
      <c r="F353">
        <v>2</v>
      </c>
      <c r="G353" t="s">
        <v>80</v>
      </c>
      <c r="H353" t="s">
        <v>80</v>
      </c>
      <c r="I353" s="2">
        <v>0.5</v>
      </c>
      <c r="J353" t="s">
        <v>82</v>
      </c>
      <c r="K353" t="s">
        <v>79</v>
      </c>
      <c r="L353" t="s">
        <v>16</v>
      </c>
      <c r="M353">
        <v>0</v>
      </c>
      <c r="N353">
        <v>5</v>
      </c>
      <c r="O353" t="s">
        <v>138</v>
      </c>
      <c r="P353" t="s">
        <v>16</v>
      </c>
      <c r="Q353" s="1" t="s">
        <v>68</v>
      </c>
      <c r="R353" t="s">
        <v>68</v>
      </c>
      <c r="S353" t="e">
        <f>IF(T353="","",INDEX('Backing 4'!U:U,MATCH(T353,'Backing 4'!T:T,0)))</f>
        <v>#N/A</v>
      </c>
      <c r="T353" t="str">
        <f t="shared" si="15"/>
        <v xml:space="preserve"> Junior Officer &amp; Sales &amp; Marketing</v>
      </c>
      <c r="U353" t="e">
        <f>IF(V353="","",INDEX('Backing 4'!Z:Z,MATCH(V353,'Backing 4'!Y:Y,0)))</f>
        <v>#N/A</v>
      </c>
      <c r="V353" t="str">
        <f t="shared" si="16"/>
        <v xml:space="preserve"> Junior Officer</v>
      </c>
      <c r="W353">
        <v>1</v>
      </c>
      <c r="X353" t="str">
        <f>IF(E353="Y","",IF(Y353="Y",INDEX('Backing 2'!B:B,MATCH(D353,'Backing 2'!C:C,0)),D353))</f>
        <v xml:space="preserve"> Junior Officer</v>
      </c>
      <c r="Y353" t="s">
        <v>81</v>
      </c>
      <c r="Z353">
        <v>0</v>
      </c>
      <c r="AA353" t="s">
        <v>69</v>
      </c>
      <c r="AB353">
        <v>29</v>
      </c>
      <c r="AC353" t="s">
        <v>19</v>
      </c>
      <c r="AD353" t="s">
        <v>19</v>
      </c>
      <c r="AE353" t="s">
        <v>19</v>
      </c>
      <c r="AF353" s="3">
        <v>43556</v>
      </c>
      <c r="AG353">
        <v>1</v>
      </c>
      <c r="AH353">
        <f t="shared" ca="1" si="17"/>
        <v>7.6514655655260944E-2</v>
      </c>
    </row>
    <row r="354" spans="1:34">
      <c r="A354">
        <v>353</v>
      </c>
      <c r="B354" t="s">
        <v>7</v>
      </c>
      <c r="C354">
        <v>5</v>
      </c>
      <c r="D354" t="s">
        <v>138</v>
      </c>
      <c r="E354" t="s">
        <v>81</v>
      </c>
      <c r="F354">
        <v>3</v>
      </c>
      <c r="G354" t="s">
        <v>82</v>
      </c>
      <c r="H354" t="s">
        <v>80</v>
      </c>
      <c r="I354" s="2">
        <v>0.5</v>
      </c>
      <c r="J354" t="s">
        <v>82</v>
      </c>
      <c r="K354" t="s">
        <v>79</v>
      </c>
      <c r="L354" t="s">
        <v>16</v>
      </c>
      <c r="M354">
        <v>0</v>
      </c>
      <c r="N354">
        <v>5</v>
      </c>
      <c r="O354" t="s">
        <v>138</v>
      </c>
      <c r="P354" t="s">
        <v>16</v>
      </c>
      <c r="Q354" s="1" t="s">
        <v>68</v>
      </c>
      <c r="R354" t="s">
        <v>68</v>
      </c>
      <c r="S354" t="e">
        <f>IF(T354="","",INDEX('Backing 4'!U:U,MATCH(T354,'Backing 4'!T:T,0)))</f>
        <v>#N/A</v>
      </c>
      <c r="T354" t="str">
        <f t="shared" si="15"/>
        <v xml:space="preserve"> Senior Officer &amp; Sales &amp; Marketing</v>
      </c>
      <c r="U354" t="e">
        <f>IF(V354="","",INDEX('Backing 4'!Z:Z,MATCH(V354,'Backing 4'!Y:Y,0)))</f>
        <v>#N/A</v>
      </c>
      <c r="V354" t="str">
        <f t="shared" si="16"/>
        <v xml:space="preserve"> Senior Officer</v>
      </c>
      <c r="W354">
        <v>6</v>
      </c>
      <c r="X354" t="str">
        <f>IF(E354="Y","",IF(Y354="Y",INDEX('Backing 2'!B:B,MATCH(D354,'Backing 2'!C:C,0)),D354))</f>
        <v xml:space="preserve"> Senior Officer</v>
      </c>
      <c r="Y354" t="s">
        <v>81</v>
      </c>
      <c r="Z354">
        <v>2</v>
      </c>
      <c r="AA354" t="s">
        <v>70</v>
      </c>
      <c r="AB354">
        <v>31</v>
      </c>
      <c r="AC354" t="s">
        <v>30</v>
      </c>
      <c r="AD354" t="s">
        <v>74</v>
      </c>
      <c r="AE354" t="s">
        <v>74</v>
      </c>
      <c r="AF354" s="3">
        <v>42461</v>
      </c>
      <c r="AG354">
        <v>4</v>
      </c>
      <c r="AH354">
        <f t="shared" ca="1" si="17"/>
        <v>0.63286620874248878</v>
      </c>
    </row>
    <row r="355" spans="1:34">
      <c r="A355">
        <v>354</v>
      </c>
      <c r="B355" t="s">
        <v>7</v>
      </c>
      <c r="C355">
        <v>6</v>
      </c>
      <c r="D355" t="s">
        <v>134</v>
      </c>
      <c r="E355" t="s">
        <v>79</v>
      </c>
      <c r="F355">
        <v>0</v>
      </c>
      <c r="G355" t="s">
        <v>82</v>
      </c>
      <c r="H355" t="s">
        <v>82</v>
      </c>
      <c r="I355" s="2">
        <v>0.5</v>
      </c>
      <c r="J355" t="s">
        <v>82</v>
      </c>
      <c r="K355" t="s">
        <v>81</v>
      </c>
      <c r="L355" t="s">
        <v>14</v>
      </c>
      <c r="M355">
        <v>0</v>
      </c>
      <c r="N355">
        <v>6</v>
      </c>
      <c r="O355" t="s">
        <v>134</v>
      </c>
      <c r="P355" t="s">
        <v>14</v>
      </c>
      <c r="Q355" s="1" t="s">
        <v>68</v>
      </c>
      <c r="R355" t="s">
        <v>68</v>
      </c>
      <c r="S355" t="e">
        <f>IF(T355="","",INDEX('Backing 4'!U:U,MATCH(T355,'Backing 4'!T:T,0)))</f>
        <v>#N/A</v>
      </c>
      <c r="T355" t="str">
        <f t="shared" si="15"/>
        <v xml:space="preserve"> Junior Officer &amp; Operations</v>
      </c>
      <c r="U355" t="e">
        <f>IF(V355="","",INDEX('Backing 4'!Z:Z,MATCH(V355,'Backing 4'!Y:Y,0)))</f>
        <v>#N/A</v>
      </c>
      <c r="V355" t="str">
        <f t="shared" si="16"/>
        <v xml:space="preserve"> Junior Officer</v>
      </c>
      <c r="W355">
        <v>0</v>
      </c>
      <c r="X355" t="str">
        <f>IF(E355="Y","",IF(Y355="Y",INDEX('Backing 2'!B:B,MATCH(D355,'Backing 2'!C:C,0)),D355))</f>
        <v/>
      </c>
      <c r="Y355" t="s">
        <v>81</v>
      </c>
      <c r="Z355">
        <v>0</v>
      </c>
      <c r="AA355" t="s">
        <v>69</v>
      </c>
      <c r="AB355">
        <v>23</v>
      </c>
      <c r="AC355" t="s">
        <v>29</v>
      </c>
      <c r="AD355" t="s">
        <v>74</v>
      </c>
      <c r="AE355" t="s">
        <v>74</v>
      </c>
      <c r="AF355" s="3">
        <v>43922</v>
      </c>
      <c r="AG355">
        <v>0</v>
      </c>
      <c r="AH355">
        <f t="shared" ca="1" si="17"/>
        <v>0.34385795891532112</v>
      </c>
    </row>
    <row r="356" spans="1:34">
      <c r="A356">
        <v>355</v>
      </c>
      <c r="B356" t="s">
        <v>8</v>
      </c>
      <c r="C356">
        <v>6</v>
      </c>
      <c r="D356" t="s">
        <v>134</v>
      </c>
      <c r="E356" t="s">
        <v>79</v>
      </c>
      <c r="F356">
        <v>0</v>
      </c>
      <c r="G356" t="s">
        <v>82</v>
      </c>
      <c r="H356" t="s">
        <v>82</v>
      </c>
      <c r="I356" s="2">
        <v>0.5</v>
      </c>
      <c r="J356" t="s">
        <v>82</v>
      </c>
      <c r="K356" t="s">
        <v>81</v>
      </c>
      <c r="L356" t="s">
        <v>14</v>
      </c>
      <c r="M356">
        <v>0</v>
      </c>
      <c r="N356">
        <v>6</v>
      </c>
      <c r="O356" t="s">
        <v>134</v>
      </c>
      <c r="P356" t="s">
        <v>14</v>
      </c>
      <c r="Q356" s="1" t="s">
        <v>68</v>
      </c>
      <c r="R356" t="s">
        <v>68</v>
      </c>
      <c r="S356" t="e">
        <f>IF(T356="","",INDEX('Backing 4'!U:U,MATCH(T356,'Backing 4'!T:T,0)))</f>
        <v>#N/A</v>
      </c>
      <c r="T356" t="str">
        <f t="shared" si="15"/>
        <v xml:space="preserve"> Junior Officer &amp; Operations</v>
      </c>
      <c r="U356" t="e">
        <f>IF(V356="","",INDEX('Backing 4'!Z:Z,MATCH(V356,'Backing 4'!Y:Y,0)))</f>
        <v>#N/A</v>
      </c>
      <c r="V356" t="str">
        <f t="shared" si="16"/>
        <v xml:space="preserve"> Junior Officer</v>
      </c>
      <c r="W356">
        <v>0</v>
      </c>
      <c r="X356" t="str">
        <f>IF(E356="Y","",IF(Y356="Y",INDEX('Backing 2'!B:B,MATCH(D356,'Backing 2'!C:C,0)),D356))</f>
        <v/>
      </c>
      <c r="Y356" t="s">
        <v>81</v>
      </c>
      <c r="Z356">
        <v>0</v>
      </c>
      <c r="AA356" t="s">
        <v>69</v>
      </c>
      <c r="AB356">
        <v>23</v>
      </c>
      <c r="AC356" t="s">
        <v>26</v>
      </c>
      <c r="AD356" t="s">
        <v>74</v>
      </c>
      <c r="AE356" t="s">
        <v>74</v>
      </c>
      <c r="AF356" s="3">
        <v>43922</v>
      </c>
      <c r="AG356">
        <v>0</v>
      </c>
      <c r="AH356">
        <f t="shared" ca="1" si="17"/>
        <v>0.18311687127496279</v>
      </c>
    </row>
    <row r="357" spans="1:34">
      <c r="A357">
        <v>356</v>
      </c>
      <c r="B357" t="s">
        <v>8</v>
      </c>
      <c r="C357">
        <v>5</v>
      </c>
      <c r="D357" t="s">
        <v>138</v>
      </c>
      <c r="E357" t="s">
        <v>81</v>
      </c>
      <c r="F357">
        <v>2</v>
      </c>
      <c r="G357" t="s">
        <v>80</v>
      </c>
      <c r="H357" t="s">
        <v>80</v>
      </c>
      <c r="I357" s="2">
        <v>0.5</v>
      </c>
      <c r="J357" t="s">
        <v>82</v>
      </c>
      <c r="K357" t="s">
        <v>79</v>
      </c>
      <c r="L357" t="s">
        <v>16</v>
      </c>
      <c r="M357">
        <v>0</v>
      </c>
      <c r="N357">
        <v>4</v>
      </c>
      <c r="O357" t="s">
        <v>135</v>
      </c>
      <c r="P357" t="s">
        <v>16</v>
      </c>
      <c r="Q357" s="1" t="s">
        <v>68</v>
      </c>
      <c r="R357" t="s">
        <v>68</v>
      </c>
      <c r="S357" t="e">
        <f>IF(T357="","",INDEX('Backing 4'!U:U,MATCH(T357,'Backing 4'!T:T,0)))</f>
        <v>#N/A</v>
      </c>
      <c r="T357" t="str">
        <f t="shared" si="15"/>
        <v xml:space="preserve"> Senior Officer &amp; Sales &amp; Marketing</v>
      </c>
      <c r="U357" t="e">
        <f>IF(V357="","",INDEX('Backing 4'!Z:Z,MATCH(V357,'Backing 4'!Y:Y,0)))</f>
        <v>#N/A</v>
      </c>
      <c r="V357" t="str">
        <f t="shared" si="16"/>
        <v xml:space="preserve"> Senior Officer</v>
      </c>
      <c r="W357">
        <v>3</v>
      </c>
      <c r="X357" t="str">
        <f>IF(E357="Y","",IF(Y357="Y",INDEX('Backing 2'!B:B,MATCH(D357,'Backing 2'!C:C,0)),D357))</f>
        <v xml:space="preserve"> Senior Officer</v>
      </c>
      <c r="Y357" t="s">
        <v>81</v>
      </c>
      <c r="Z357">
        <v>2</v>
      </c>
      <c r="AA357" t="s">
        <v>70</v>
      </c>
      <c r="AB357">
        <v>32</v>
      </c>
      <c r="AC357" t="s">
        <v>19</v>
      </c>
      <c r="AD357" t="s">
        <v>19</v>
      </c>
      <c r="AE357" t="s">
        <v>19</v>
      </c>
      <c r="AF357" s="3">
        <v>42826</v>
      </c>
      <c r="AG357">
        <v>3</v>
      </c>
      <c r="AH357">
        <f t="shared" ca="1" si="17"/>
        <v>0.70383688238424869</v>
      </c>
    </row>
    <row r="358" spans="1:34">
      <c r="A358">
        <v>357</v>
      </c>
      <c r="B358" t="s">
        <v>7</v>
      </c>
      <c r="C358">
        <v>6</v>
      </c>
      <c r="D358" t="s">
        <v>134</v>
      </c>
      <c r="E358" t="s">
        <v>81</v>
      </c>
      <c r="F358">
        <v>2</v>
      </c>
      <c r="G358" t="s">
        <v>82</v>
      </c>
      <c r="H358" t="s">
        <v>80</v>
      </c>
      <c r="I358" s="2">
        <v>0.5</v>
      </c>
      <c r="J358" t="s">
        <v>82</v>
      </c>
      <c r="K358" t="s">
        <v>79</v>
      </c>
      <c r="L358" t="s">
        <v>14</v>
      </c>
      <c r="M358">
        <v>0</v>
      </c>
      <c r="N358">
        <v>6</v>
      </c>
      <c r="O358" t="s">
        <v>134</v>
      </c>
      <c r="P358" t="s">
        <v>14</v>
      </c>
      <c r="Q358" s="1" t="s">
        <v>68</v>
      </c>
      <c r="R358" t="s">
        <v>68</v>
      </c>
      <c r="S358" t="e">
        <f>IF(T358="","",INDEX('Backing 4'!U:U,MATCH(T358,'Backing 4'!T:T,0)))</f>
        <v>#N/A</v>
      </c>
      <c r="T358" t="str">
        <f t="shared" si="15"/>
        <v xml:space="preserve"> Junior Officer &amp; Operations</v>
      </c>
      <c r="U358" t="e">
        <f>IF(V358="","",INDEX('Backing 4'!Z:Z,MATCH(V358,'Backing 4'!Y:Y,0)))</f>
        <v>#N/A</v>
      </c>
      <c r="V358" t="str">
        <f t="shared" si="16"/>
        <v xml:space="preserve"> Junior Officer</v>
      </c>
      <c r="W358">
        <v>3</v>
      </c>
      <c r="X358" t="str">
        <f>IF(E358="Y","",IF(Y358="Y",INDEX('Backing 2'!B:B,MATCH(D358,'Backing 2'!C:C,0)),D358))</f>
        <v xml:space="preserve"> Junior Officer</v>
      </c>
      <c r="Y358" t="s">
        <v>81</v>
      </c>
      <c r="Z358">
        <v>3</v>
      </c>
      <c r="AA358" t="s">
        <v>69</v>
      </c>
      <c r="AB358">
        <v>27</v>
      </c>
      <c r="AC358" t="s">
        <v>19</v>
      </c>
      <c r="AD358" t="s">
        <v>19</v>
      </c>
      <c r="AE358" t="s">
        <v>19</v>
      </c>
      <c r="AF358" s="3">
        <v>42826</v>
      </c>
      <c r="AG358">
        <v>3</v>
      </c>
      <c r="AH358">
        <f t="shared" ca="1" si="17"/>
        <v>0.61828113943361096</v>
      </c>
    </row>
    <row r="359" spans="1:34">
      <c r="A359">
        <v>358</v>
      </c>
      <c r="B359" t="s">
        <v>7</v>
      </c>
      <c r="C359">
        <v>5</v>
      </c>
      <c r="D359" t="s">
        <v>138</v>
      </c>
      <c r="E359" t="s">
        <v>81</v>
      </c>
      <c r="F359">
        <v>3</v>
      </c>
      <c r="G359" t="s">
        <v>82</v>
      </c>
      <c r="H359" t="s">
        <v>80</v>
      </c>
      <c r="I359" s="2">
        <v>0.5</v>
      </c>
      <c r="J359" t="s">
        <v>82</v>
      </c>
      <c r="K359" t="s">
        <v>79</v>
      </c>
      <c r="L359" t="s">
        <v>14</v>
      </c>
      <c r="M359">
        <v>0</v>
      </c>
      <c r="N359">
        <v>5</v>
      </c>
      <c r="O359" t="s">
        <v>138</v>
      </c>
      <c r="P359" t="s">
        <v>14</v>
      </c>
      <c r="Q359" s="1">
        <v>0.8</v>
      </c>
      <c r="R359" t="s">
        <v>67</v>
      </c>
      <c r="S359" t="e">
        <f>IF(T359="","",INDEX('Backing 4'!U:U,MATCH(T359,'Backing 4'!T:T,0)))</f>
        <v>#N/A</v>
      </c>
      <c r="T359" t="str">
        <f t="shared" si="15"/>
        <v xml:space="preserve"> Senior Officer &amp; Operations</v>
      </c>
      <c r="U359" t="e">
        <f>IF(V359="","",INDEX('Backing 4'!Z:Z,MATCH(V359,'Backing 4'!Y:Y,0)))</f>
        <v>#N/A</v>
      </c>
      <c r="V359" t="str">
        <f t="shared" si="16"/>
        <v xml:space="preserve"> Senior Officer</v>
      </c>
      <c r="W359">
        <v>3</v>
      </c>
      <c r="X359" t="str">
        <f>IF(E359="Y","",IF(Y359="Y",INDEX('Backing 2'!B:B,MATCH(D359,'Backing 2'!C:C,0)),D359))</f>
        <v xml:space="preserve"> Senior Officer</v>
      </c>
      <c r="Y359" t="s">
        <v>81</v>
      </c>
      <c r="Z359">
        <v>2</v>
      </c>
      <c r="AA359" t="s">
        <v>70</v>
      </c>
      <c r="AB359">
        <v>33</v>
      </c>
      <c r="AC359" t="s">
        <v>31</v>
      </c>
      <c r="AD359" t="s">
        <v>74</v>
      </c>
      <c r="AE359" t="s">
        <v>74</v>
      </c>
      <c r="AF359" s="3">
        <v>40634</v>
      </c>
      <c r="AG359">
        <v>9</v>
      </c>
      <c r="AH359">
        <f t="shared" ca="1" si="17"/>
        <v>0.66079577232499132</v>
      </c>
    </row>
    <row r="360" spans="1:34">
      <c r="A360">
        <v>359</v>
      </c>
      <c r="B360" t="s">
        <v>7</v>
      </c>
      <c r="C360">
        <v>5</v>
      </c>
      <c r="D360" t="s">
        <v>138</v>
      </c>
      <c r="E360" t="s">
        <v>81</v>
      </c>
      <c r="F360">
        <v>2</v>
      </c>
      <c r="G360" t="s">
        <v>82</v>
      </c>
      <c r="H360" t="s">
        <v>80</v>
      </c>
      <c r="I360" s="2">
        <v>0.5</v>
      </c>
      <c r="J360" t="s">
        <v>82</v>
      </c>
      <c r="K360" t="s">
        <v>79</v>
      </c>
      <c r="L360" t="s">
        <v>16</v>
      </c>
      <c r="M360">
        <v>0</v>
      </c>
      <c r="N360">
        <v>5</v>
      </c>
      <c r="O360" t="s">
        <v>138</v>
      </c>
      <c r="P360" t="s">
        <v>16</v>
      </c>
      <c r="Q360" s="1" t="s">
        <v>68</v>
      </c>
      <c r="R360" t="s">
        <v>68</v>
      </c>
      <c r="S360" t="e">
        <f>IF(T360="","",INDEX('Backing 4'!U:U,MATCH(T360,'Backing 4'!T:T,0)))</f>
        <v>#N/A</v>
      </c>
      <c r="T360" t="str">
        <f t="shared" si="15"/>
        <v xml:space="preserve"> Senior Officer &amp; Sales &amp; Marketing</v>
      </c>
      <c r="U360" t="e">
        <f>IF(V360="","",INDEX('Backing 4'!Z:Z,MATCH(V360,'Backing 4'!Y:Y,0)))</f>
        <v>#N/A</v>
      </c>
      <c r="V360" t="str">
        <f t="shared" si="16"/>
        <v xml:space="preserve"> Senior Officer</v>
      </c>
      <c r="W360">
        <v>3</v>
      </c>
      <c r="X360" t="str">
        <f>IF(E360="Y","",IF(Y360="Y",INDEX('Backing 2'!B:B,MATCH(D360,'Backing 2'!C:C,0)),D360))</f>
        <v xml:space="preserve"> Senior Officer</v>
      </c>
      <c r="Y360" t="s">
        <v>81</v>
      </c>
      <c r="Z360">
        <v>3</v>
      </c>
      <c r="AA360" t="s">
        <v>69</v>
      </c>
      <c r="AB360">
        <v>28</v>
      </c>
      <c r="AC360" t="s">
        <v>38</v>
      </c>
      <c r="AD360" t="s">
        <v>75</v>
      </c>
      <c r="AE360" t="s">
        <v>78</v>
      </c>
      <c r="AF360" s="3">
        <v>40634</v>
      </c>
      <c r="AG360">
        <v>9</v>
      </c>
      <c r="AH360">
        <f t="shared" ca="1" si="17"/>
        <v>0.42671086454306062</v>
      </c>
    </row>
    <row r="361" spans="1:34">
      <c r="A361">
        <v>360</v>
      </c>
      <c r="B361" t="s">
        <v>8</v>
      </c>
      <c r="C361">
        <v>5</v>
      </c>
      <c r="D361" t="s">
        <v>138</v>
      </c>
      <c r="E361" t="s">
        <v>79</v>
      </c>
      <c r="F361">
        <v>0</v>
      </c>
      <c r="G361" t="s">
        <v>82</v>
      </c>
      <c r="H361" t="s">
        <v>82</v>
      </c>
      <c r="I361" s="2">
        <v>0.5</v>
      </c>
      <c r="J361" t="s">
        <v>82</v>
      </c>
      <c r="K361" t="s">
        <v>81</v>
      </c>
      <c r="L361" t="s">
        <v>15</v>
      </c>
      <c r="M361">
        <v>0</v>
      </c>
      <c r="N361">
        <v>5</v>
      </c>
      <c r="O361" t="s">
        <v>138</v>
      </c>
      <c r="P361" t="s">
        <v>15</v>
      </c>
      <c r="Q361" s="1" t="s">
        <v>68</v>
      </c>
      <c r="R361" t="s">
        <v>68</v>
      </c>
      <c r="S361" t="e">
        <f>IF(T361="","",INDEX('Backing 4'!U:U,MATCH(T361,'Backing 4'!T:T,0)))</f>
        <v>#N/A</v>
      </c>
      <c r="T361" t="str">
        <f t="shared" si="15"/>
        <v xml:space="preserve"> Senior Officer &amp; Internal Services</v>
      </c>
      <c r="U361" t="e">
        <f>IF(V361="","",INDEX('Backing 4'!Z:Z,MATCH(V361,'Backing 4'!Y:Y,0)))</f>
        <v>#N/A</v>
      </c>
      <c r="V361" t="str">
        <f t="shared" si="16"/>
        <v xml:space="preserve"> Senior Officer</v>
      </c>
      <c r="W361">
        <v>0</v>
      </c>
      <c r="X361" t="str">
        <f>IF(E361="Y","",IF(Y361="Y",INDEX('Backing 2'!B:B,MATCH(D361,'Backing 2'!C:C,0)),D361))</f>
        <v/>
      </c>
      <c r="Y361" t="s">
        <v>81</v>
      </c>
      <c r="Z361">
        <v>0</v>
      </c>
      <c r="AA361" t="s">
        <v>69</v>
      </c>
      <c r="AB361">
        <v>24</v>
      </c>
      <c r="AC361" t="s">
        <v>26</v>
      </c>
      <c r="AD361" t="s">
        <v>74</v>
      </c>
      <c r="AE361" t="s">
        <v>74</v>
      </c>
      <c r="AF361" s="3">
        <v>43922</v>
      </c>
      <c r="AG361">
        <v>0</v>
      </c>
      <c r="AH361">
        <f t="shared" ca="1" si="17"/>
        <v>0.12087540405108999</v>
      </c>
    </row>
    <row r="362" spans="1:34">
      <c r="A362">
        <v>361</v>
      </c>
      <c r="B362" t="s">
        <v>8</v>
      </c>
      <c r="C362">
        <v>3</v>
      </c>
      <c r="D362" t="s">
        <v>137</v>
      </c>
      <c r="E362" t="s">
        <v>81</v>
      </c>
      <c r="F362">
        <v>2</v>
      </c>
      <c r="G362" t="s">
        <v>82</v>
      </c>
      <c r="H362" t="s">
        <v>80</v>
      </c>
      <c r="I362" s="2">
        <v>0.5</v>
      </c>
      <c r="J362" t="s">
        <v>82</v>
      </c>
      <c r="K362" t="s">
        <v>79</v>
      </c>
      <c r="L362" t="s">
        <v>15</v>
      </c>
      <c r="M362">
        <v>0</v>
      </c>
      <c r="N362">
        <v>3</v>
      </c>
      <c r="O362" t="s">
        <v>137</v>
      </c>
      <c r="P362" t="s">
        <v>15</v>
      </c>
      <c r="Q362" s="1" t="s">
        <v>68</v>
      </c>
      <c r="R362" t="s">
        <v>68</v>
      </c>
      <c r="S362" t="e">
        <f>IF(T362="","",INDEX('Backing 4'!U:U,MATCH(T362,'Backing 4'!T:T,0)))</f>
        <v>#N/A</v>
      </c>
      <c r="T362" t="str">
        <f t="shared" si="15"/>
        <v xml:space="preserve"> Senior Manager &amp; Internal Services</v>
      </c>
      <c r="U362" t="e">
        <f>IF(V362="","",INDEX('Backing 4'!Z:Z,MATCH(V362,'Backing 4'!Y:Y,0)))</f>
        <v>#N/A</v>
      </c>
      <c r="V362" t="str">
        <f t="shared" si="16"/>
        <v xml:space="preserve"> Senior Manager</v>
      </c>
      <c r="W362">
        <v>4</v>
      </c>
      <c r="X362" t="str">
        <f>IF(E362="Y","",IF(Y362="Y",INDEX('Backing 2'!B:B,MATCH(D362,'Backing 2'!C:C,0)),D362))</f>
        <v xml:space="preserve"> Senior Manager</v>
      </c>
      <c r="Y362" t="s">
        <v>81</v>
      </c>
      <c r="Z362">
        <v>2</v>
      </c>
      <c r="AA362" t="s">
        <v>70</v>
      </c>
      <c r="AB362">
        <v>38</v>
      </c>
      <c r="AC362" t="s">
        <v>19</v>
      </c>
      <c r="AD362" t="s">
        <v>19</v>
      </c>
      <c r="AE362" t="s">
        <v>19</v>
      </c>
      <c r="AF362" s="3">
        <v>40634</v>
      </c>
      <c r="AG362">
        <v>9</v>
      </c>
      <c r="AH362">
        <f t="shared" ca="1" si="17"/>
        <v>0.36148417123711674</v>
      </c>
    </row>
    <row r="363" spans="1:34">
      <c r="A363">
        <v>362</v>
      </c>
      <c r="B363" t="s">
        <v>7</v>
      </c>
      <c r="C363">
        <v>6</v>
      </c>
      <c r="D363" t="s">
        <v>134</v>
      </c>
      <c r="E363" t="s">
        <v>81</v>
      </c>
      <c r="F363">
        <v>3</v>
      </c>
      <c r="G363" t="s">
        <v>82</v>
      </c>
      <c r="H363" t="s">
        <v>80</v>
      </c>
      <c r="I363" s="2">
        <v>0.5</v>
      </c>
      <c r="J363" t="s">
        <v>82</v>
      </c>
      <c r="K363" t="s">
        <v>79</v>
      </c>
      <c r="L363" t="s">
        <v>14</v>
      </c>
      <c r="M363">
        <v>0</v>
      </c>
      <c r="N363">
        <v>6</v>
      </c>
      <c r="O363" t="s">
        <v>134</v>
      </c>
      <c r="P363" t="s">
        <v>14</v>
      </c>
      <c r="Q363" s="1" t="s">
        <v>68</v>
      </c>
      <c r="R363" t="s">
        <v>68</v>
      </c>
      <c r="S363" t="e">
        <f>IF(T363="","",INDEX('Backing 4'!U:U,MATCH(T363,'Backing 4'!T:T,0)))</f>
        <v>#N/A</v>
      </c>
      <c r="T363" t="str">
        <f t="shared" si="15"/>
        <v xml:space="preserve"> Junior Officer &amp; Operations</v>
      </c>
      <c r="U363" t="e">
        <f>IF(V363="","",INDEX('Backing 4'!Z:Z,MATCH(V363,'Backing 4'!Y:Y,0)))</f>
        <v>#N/A</v>
      </c>
      <c r="V363" t="str">
        <f t="shared" si="16"/>
        <v xml:space="preserve"> Junior Officer</v>
      </c>
      <c r="W363">
        <v>5</v>
      </c>
      <c r="X363" t="str">
        <f>IF(E363="Y","",IF(Y363="Y",INDEX('Backing 2'!B:B,MATCH(D363,'Backing 2'!C:C,0)),D363))</f>
        <v xml:space="preserve"> Junior Officer</v>
      </c>
      <c r="Y363" t="s">
        <v>81</v>
      </c>
      <c r="Z363">
        <v>3</v>
      </c>
      <c r="AA363" t="s">
        <v>69</v>
      </c>
      <c r="AB363">
        <v>26</v>
      </c>
      <c r="AC363" t="s">
        <v>38</v>
      </c>
      <c r="AD363" t="s">
        <v>75</v>
      </c>
      <c r="AE363" t="s">
        <v>78</v>
      </c>
      <c r="AF363" s="3">
        <v>42095</v>
      </c>
      <c r="AG363">
        <v>5</v>
      </c>
      <c r="AH363">
        <f t="shared" ca="1" si="17"/>
        <v>0.57593785956794619</v>
      </c>
    </row>
    <row r="364" spans="1:34">
      <c r="A364">
        <v>363</v>
      </c>
      <c r="B364" t="s">
        <v>8</v>
      </c>
      <c r="C364">
        <v>1</v>
      </c>
      <c r="D364" t="s">
        <v>139</v>
      </c>
      <c r="E364" t="s">
        <v>81</v>
      </c>
      <c r="F364">
        <v>0</v>
      </c>
      <c r="G364" t="s">
        <v>82</v>
      </c>
      <c r="H364" t="s">
        <v>82</v>
      </c>
      <c r="I364" s="2">
        <v>0.5</v>
      </c>
      <c r="J364" t="s">
        <v>82</v>
      </c>
      <c r="K364" t="s">
        <v>79</v>
      </c>
      <c r="L364" t="s">
        <v>17</v>
      </c>
      <c r="M364">
        <v>0</v>
      </c>
      <c r="N364">
        <v>1</v>
      </c>
      <c r="O364" t="s">
        <v>139</v>
      </c>
      <c r="P364" t="s">
        <v>17</v>
      </c>
      <c r="Q364" s="1" t="s">
        <v>68</v>
      </c>
      <c r="R364" t="s">
        <v>68</v>
      </c>
      <c r="S364" t="e">
        <f>IF(T364="","",INDEX('Backing 4'!U:U,MATCH(T364,'Backing 4'!T:T,0)))</f>
        <v>#N/A</v>
      </c>
      <c r="T364" t="str">
        <f t="shared" si="15"/>
        <v xml:space="preserve"> Executive &amp; Strategy</v>
      </c>
      <c r="U364" t="e">
        <f>IF(V364="","",INDEX('Backing 4'!Z:Z,MATCH(V364,'Backing 4'!Y:Y,0)))</f>
        <v>#N/A</v>
      </c>
      <c r="V364" t="str">
        <f t="shared" si="16"/>
        <v xml:space="preserve"> Executive</v>
      </c>
      <c r="W364">
        <v>4</v>
      </c>
      <c r="X364" t="str">
        <f>IF(E364="Y","",IF(Y364="Y",INDEX('Backing 2'!B:B,MATCH(D364,'Backing 2'!C:C,0)),D364))</f>
        <v xml:space="preserve"> Executive</v>
      </c>
      <c r="Y364" t="s">
        <v>81</v>
      </c>
      <c r="Z364">
        <v>3</v>
      </c>
      <c r="AA364" t="s">
        <v>71</v>
      </c>
      <c r="AB364">
        <v>45</v>
      </c>
      <c r="AC364" t="s">
        <v>31</v>
      </c>
      <c r="AD364" t="s">
        <v>74</v>
      </c>
      <c r="AE364" t="s">
        <v>74</v>
      </c>
      <c r="AF364" s="3">
        <v>41365</v>
      </c>
      <c r="AG364">
        <v>7</v>
      </c>
      <c r="AH364">
        <f t="shared" ca="1" si="17"/>
        <v>0.92654361239658012</v>
      </c>
    </row>
    <row r="365" spans="1:34">
      <c r="A365">
        <v>364</v>
      </c>
      <c r="B365" t="s">
        <v>8</v>
      </c>
      <c r="C365">
        <v>5</v>
      </c>
      <c r="D365" t="s">
        <v>138</v>
      </c>
      <c r="E365" t="s">
        <v>81</v>
      </c>
      <c r="F365">
        <v>4</v>
      </c>
      <c r="G365" t="s">
        <v>82</v>
      </c>
      <c r="H365" t="s">
        <v>80</v>
      </c>
      <c r="I365" s="2">
        <v>0.5</v>
      </c>
      <c r="J365" t="s">
        <v>82</v>
      </c>
      <c r="K365" t="s">
        <v>79</v>
      </c>
      <c r="L365" t="s">
        <v>14</v>
      </c>
      <c r="M365">
        <v>0</v>
      </c>
      <c r="N365">
        <v>5</v>
      </c>
      <c r="O365" t="s">
        <v>138</v>
      </c>
      <c r="P365" t="s">
        <v>14</v>
      </c>
      <c r="Q365" s="1" t="s">
        <v>68</v>
      </c>
      <c r="R365" t="s">
        <v>68</v>
      </c>
      <c r="S365" t="e">
        <f>IF(T365="","",INDEX('Backing 4'!U:U,MATCH(T365,'Backing 4'!T:T,0)))</f>
        <v>#N/A</v>
      </c>
      <c r="T365" t="str">
        <f t="shared" si="15"/>
        <v xml:space="preserve"> Senior Officer &amp; Operations</v>
      </c>
      <c r="U365" t="e">
        <f>IF(V365="","",INDEX('Backing 4'!Z:Z,MATCH(V365,'Backing 4'!Y:Y,0)))</f>
        <v>#N/A</v>
      </c>
      <c r="V365" t="str">
        <f t="shared" si="16"/>
        <v xml:space="preserve"> Senior Officer</v>
      </c>
      <c r="W365">
        <v>1</v>
      </c>
      <c r="X365" t="e">
        <f>IF(E365="Y","",IF(Y365="Y",INDEX('Backing 2'!B:B,MATCH(D365,'Backing 2'!C:C,0)),D365))</f>
        <v>#N/A</v>
      </c>
      <c r="Y365" t="s">
        <v>79</v>
      </c>
      <c r="Z365">
        <v>2</v>
      </c>
      <c r="AA365" t="s">
        <v>69</v>
      </c>
      <c r="AB365">
        <v>29</v>
      </c>
      <c r="AC365" t="s">
        <v>31</v>
      </c>
      <c r="AD365" t="s">
        <v>74</v>
      </c>
      <c r="AE365" t="s">
        <v>74</v>
      </c>
      <c r="AF365" s="3">
        <v>43191</v>
      </c>
      <c r="AG365">
        <v>2</v>
      </c>
      <c r="AH365">
        <f t="shared" ca="1" si="17"/>
        <v>0.45779100848927712</v>
      </c>
    </row>
    <row r="366" spans="1:34">
      <c r="A366">
        <v>365</v>
      </c>
      <c r="B366" t="s">
        <v>8</v>
      </c>
      <c r="C366">
        <v>4</v>
      </c>
      <c r="D366" t="s">
        <v>135</v>
      </c>
      <c r="E366" t="s">
        <v>81</v>
      </c>
      <c r="F366">
        <v>3</v>
      </c>
      <c r="G366" t="s">
        <v>82</v>
      </c>
      <c r="H366" t="s">
        <v>80</v>
      </c>
      <c r="I366" s="2">
        <v>0.5</v>
      </c>
      <c r="J366" t="s">
        <v>82</v>
      </c>
      <c r="K366" t="s">
        <v>79</v>
      </c>
      <c r="L366" t="s">
        <v>16</v>
      </c>
      <c r="M366">
        <v>0</v>
      </c>
      <c r="N366">
        <v>4</v>
      </c>
      <c r="O366" t="s">
        <v>135</v>
      </c>
      <c r="P366" t="s">
        <v>16</v>
      </c>
      <c r="Q366" s="1" t="s">
        <v>68</v>
      </c>
      <c r="R366" t="s">
        <v>68</v>
      </c>
      <c r="S366" t="e">
        <f>IF(T366="","",INDEX('Backing 4'!U:U,MATCH(T366,'Backing 4'!T:T,0)))</f>
        <v>#N/A</v>
      </c>
      <c r="T366" t="str">
        <f t="shared" si="15"/>
        <v xml:space="preserve"> Manager &amp; Sales &amp; Marketing</v>
      </c>
      <c r="U366" t="e">
        <f>IF(V366="","",INDEX('Backing 4'!Z:Z,MATCH(V366,'Backing 4'!Y:Y,0)))</f>
        <v>#N/A</v>
      </c>
      <c r="V366" t="str">
        <f t="shared" si="16"/>
        <v xml:space="preserve"> Manager</v>
      </c>
      <c r="W366">
        <v>2</v>
      </c>
      <c r="X366" t="str">
        <f>IF(E366="Y","",IF(Y366="Y",INDEX('Backing 2'!B:B,MATCH(D366,'Backing 2'!C:C,0)),D366))</f>
        <v xml:space="preserve"> Manager</v>
      </c>
      <c r="Y366" t="s">
        <v>81</v>
      </c>
      <c r="Z366">
        <v>2</v>
      </c>
      <c r="AA366" t="s">
        <v>70</v>
      </c>
      <c r="AB366">
        <v>31</v>
      </c>
      <c r="AC366" t="s">
        <v>19</v>
      </c>
      <c r="AD366" t="s">
        <v>19</v>
      </c>
      <c r="AE366" t="s">
        <v>19</v>
      </c>
      <c r="AF366" s="3">
        <v>40634</v>
      </c>
      <c r="AG366">
        <v>9</v>
      </c>
      <c r="AH366">
        <f t="shared" ca="1" si="17"/>
        <v>0.79343196376193059</v>
      </c>
    </row>
    <row r="367" spans="1:34">
      <c r="A367">
        <v>366</v>
      </c>
      <c r="B367" t="s">
        <v>7</v>
      </c>
      <c r="C367">
        <v>6</v>
      </c>
      <c r="D367" t="s">
        <v>134</v>
      </c>
      <c r="E367" t="s">
        <v>81</v>
      </c>
      <c r="F367">
        <v>1</v>
      </c>
      <c r="G367" t="s">
        <v>80</v>
      </c>
      <c r="H367" t="s">
        <v>80</v>
      </c>
      <c r="I367" s="2">
        <v>0.5</v>
      </c>
      <c r="J367" t="s">
        <v>82</v>
      </c>
      <c r="K367" t="s">
        <v>79</v>
      </c>
      <c r="L367" t="s">
        <v>12</v>
      </c>
      <c r="M367">
        <v>0</v>
      </c>
      <c r="N367">
        <v>5</v>
      </c>
      <c r="O367" t="s">
        <v>138</v>
      </c>
      <c r="P367" t="s">
        <v>12</v>
      </c>
      <c r="Q367" s="1" t="s">
        <v>68</v>
      </c>
      <c r="R367" t="s">
        <v>68</v>
      </c>
      <c r="S367" t="e">
        <f>IF(T367="","",INDEX('Backing 4'!U:U,MATCH(T367,'Backing 4'!T:T,0)))</f>
        <v>#N/A</v>
      </c>
      <c r="T367" t="str">
        <f t="shared" si="15"/>
        <v xml:space="preserve"> Junior Officer &amp; Finance</v>
      </c>
      <c r="U367" t="e">
        <f>IF(V367="","",INDEX('Backing 4'!Z:Z,MATCH(V367,'Backing 4'!Y:Y,0)))</f>
        <v>#N/A</v>
      </c>
      <c r="V367" t="str">
        <f t="shared" si="16"/>
        <v xml:space="preserve"> Junior Officer</v>
      </c>
      <c r="W367">
        <v>3</v>
      </c>
      <c r="X367" t="str">
        <f>IF(E367="Y","",IF(Y367="Y",INDEX('Backing 2'!B:B,MATCH(D367,'Backing 2'!C:C,0)),D367))</f>
        <v xml:space="preserve"> Junior Officer</v>
      </c>
      <c r="Y367" t="s">
        <v>81</v>
      </c>
      <c r="Z367">
        <v>3</v>
      </c>
      <c r="AA367" t="s">
        <v>70</v>
      </c>
      <c r="AB367">
        <v>34</v>
      </c>
      <c r="AC367" t="s">
        <v>19</v>
      </c>
      <c r="AD367" t="s">
        <v>19</v>
      </c>
      <c r="AE367" t="s">
        <v>19</v>
      </c>
      <c r="AF367" s="3">
        <v>42826</v>
      </c>
      <c r="AG367">
        <v>3</v>
      </c>
      <c r="AH367">
        <f t="shared" ca="1" si="17"/>
        <v>0.49295756896241183</v>
      </c>
    </row>
    <row r="368" spans="1:34">
      <c r="A368">
        <v>367</v>
      </c>
      <c r="B368" t="s">
        <v>7</v>
      </c>
      <c r="C368">
        <v>5</v>
      </c>
      <c r="D368" t="s">
        <v>138</v>
      </c>
      <c r="E368" t="s">
        <v>79</v>
      </c>
      <c r="F368">
        <v>0</v>
      </c>
      <c r="G368" t="s">
        <v>82</v>
      </c>
      <c r="H368" t="s">
        <v>82</v>
      </c>
      <c r="I368" s="2">
        <v>0.5</v>
      </c>
      <c r="J368" t="s">
        <v>82</v>
      </c>
      <c r="K368" t="s">
        <v>81</v>
      </c>
      <c r="L368" t="s">
        <v>16</v>
      </c>
      <c r="M368">
        <v>0</v>
      </c>
      <c r="N368">
        <v>5</v>
      </c>
      <c r="O368" t="s">
        <v>138</v>
      </c>
      <c r="P368" t="s">
        <v>16</v>
      </c>
      <c r="Q368" s="1" t="s">
        <v>68</v>
      </c>
      <c r="R368" t="s">
        <v>68</v>
      </c>
      <c r="S368" t="e">
        <f>IF(T368="","",INDEX('Backing 4'!U:U,MATCH(T368,'Backing 4'!T:T,0)))</f>
        <v>#N/A</v>
      </c>
      <c r="T368" t="str">
        <f t="shared" si="15"/>
        <v xml:space="preserve"> Senior Officer &amp; Sales &amp; Marketing</v>
      </c>
      <c r="U368" t="e">
        <f>IF(V368="","",INDEX('Backing 4'!Z:Z,MATCH(V368,'Backing 4'!Y:Y,0)))</f>
        <v>#N/A</v>
      </c>
      <c r="V368" t="str">
        <f t="shared" si="16"/>
        <v xml:space="preserve"> Senior Officer</v>
      </c>
      <c r="W368">
        <v>0</v>
      </c>
      <c r="X368" t="str">
        <f>IF(E368="Y","",IF(Y368="Y",INDEX('Backing 2'!B:B,MATCH(D368,'Backing 2'!C:C,0)),D368))</f>
        <v/>
      </c>
      <c r="Y368" t="s">
        <v>81</v>
      </c>
      <c r="Z368">
        <v>0</v>
      </c>
      <c r="AA368" t="s">
        <v>69</v>
      </c>
      <c r="AB368">
        <v>29</v>
      </c>
      <c r="AC368" t="s">
        <v>19</v>
      </c>
      <c r="AD368" t="s">
        <v>19</v>
      </c>
      <c r="AE368" t="s">
        <v>19</v>
      </c>
      <c r="AF368" s="3">
        <v>43922</v>
      </c>
      <c r="AG368">
        <v>0</v>
      </c>
      <c r="AH368">
        <f t="shared" ca="1" si="17"/>
        <v>0.9019684152510149</v>
      </c>
    </row>
    <row r="369" spans="1:34">
      <c r="A369">
        <v>368</v>
      </c>
      <c r="B369" t="s">
        <v>8</v>
      </c>
      <c r="C369">
        <v>5</v>
      </c>
      <c r="D369" t="s">
        <v>138</v>
      </c>
      <c r="E369" t="s">
        <v>79</v>
      </c>
      <c r="F369">
        <v>0</v>
      </c>
      <c r="G369" t="s">
        <v>82</v>
      </c>
      <c r="H369" t="s">
        <v>82</v>
      </c>
      <c r="I369" s="2">
        <v>0.5</v>
      </c>
      <c r="J369" t="s">
        <v>82</v>
      </c>
      <c r="K369" t="s">
        <v>81</v>
      </c>
      <c r="L369" t="s">
        <v>16</v>
      </c>
      <c r="M369">
        <v>0</v>
      </c>
      <c r="N369">
        <v>5</v>
      </c>
      <c r="O369" t="s">
        <v>138</v>
      </c>
      <c r="P369" t="s">
        <v>16</v>
      </c>
      <c r="Q369" s="1" t="s">
        <v>68</v>
      </c>
      <c r="R369" t="s">
        <v>68</v>
      </c>
      <c r="S369" t="e">
        <f>IF(T369="","",INDEX('Backing 4'!U:U,MATCH(T369,'Backing 4'!T:T,0)))</f>
        <v>#N/A</v>
      </c>
      <c r="T369" t="str">
        <f t="shared" si="15"/>
        <v xml:space="preserve"> Senior Officer &amp; Sales &amp; Marketing</v>
      </c>
      <c r="U369" t="e">
        <f>IF(V369="","",INDEX('Backing 4'!Z:Z,MATCH(V369,'Backing 4'!Y:Y,0)))</f>
        <v>#N/A</v>
      </c>
      <c r="V369" t="str">
        <f t="shared" si="16"/>
        <v xml:space="preserve"> Senior Officer</v>
      </c>
      <c r="W369">
        <v>0</v>
      </c>
      <c r="X369" t="str">
        <f>IF(E369="Y","",IF(Y369="Y",INDEX('Backing 2'!B:B,MATCH(D369,'Backing 2'!C:C,0)),D369))</f>
        <v/>
      </c>
      <c r="Y369" t="s">
        <v>81</v>
      </c>
      <c r="Z369">
        <v>0</v>
      </c>
      <c r="AA369" t="s">
        <v>69</v>
      </c>
      <c r="AB369">
        <v>29</v>
      </c>
      <c r="AC369" t="s">
        <v>19</v>
      </c>
      <c r="AD369" t="s">
        <v>19</v>
      </c>
      <c r="AE369" t="s">
        <v>19</v>
      </c>
      <c r="AF369" s="3">
        <v>43922</v>
      </c>
      <c r="AG369">
        <v>0</v>
      </c>
      <c r="AH369">
        <f t="shared" ca="1" si="17"/>
        <v>0.53771455398674028</v>
      </c>
    </row>
    <row r="370" spans="1:34">
      <c r="A370">
        <v>369</v>
      </c>
      <c r="B370" t="s">
        <v>7</v>
      </c>
      <c r="C370">
        <v>5</v>
      </c>
      <c r="D370" t="s">
        <v>138</v>
      </c>
      <c r="E370" t="s">
        <v>81</v>
      </c>
      <c r="F370">
        <v>0</v>
      </c>
      <c r="G370" t="s">
        <v>82</v>
      </c>
      <c r="H370" t="s">
        <v>82</v>
      </c>
      <c r="I370" s="2">
        <v>0.5</v>
      </c>
      <c r="J370" t="s">
        <v>80</v>
      </c>
      <c r="K370" t="s">
        <v>79</v>
      </c>
      <c r="L370" t="s">
        <v>16</v>
      </c>
      <c r="M370" t="s">
        <v>83</v>
      </c>
      <c r="N370">
        <v>0</v>
      </c>
      <c r="O370" t="s">
        <v>142</v>
      </c>
      <c r="P370" t="s">
        <v>16</v>
      </c>
      <c r="Q370" s="1" t="s">
        <v>68</v>
      </c>
      <c r="R370" t="s">
        <v>68</v>
      </c>
      <c r="S370" t="e">
        <f>IF(T370="","",INDEX('Backing 4'!U:U,MATCH(T370,'Backing 4'!T:T,0)))</f>
        <v>#N/A</v>
      </c>
      <c r="T370" t="str">
        <f t="shared" si="15"/>
        <v xml:space="preserve"> Senior Officer &amp; Sales &amp; Marketing</v>
      </c>
      <c r="U370" t="e">
        <f>IF(V370="","",INDEX('Backing 4'!Z:Z,MATCH(V370,'Backing 4'!Y:Y,0)))</f>
        <v>#N/A</v>
      </c>
      <c r="V370" t="str">
        <f t="shared" si="16"/>
        <v xml:space="preserve"> Senior Officer</v>
      </c>
      <c r="W370">
        <v>3</v>
      </c>
      <c r="X370" t="str">
        <f>IF(E370="Y","",IF(Y370="Y",INDEX('Backing 2'!B:B,MATCH(D370,'Backing 2'!C:C,0)),D370))</f>
        <v xml:space="preserve"> Senior Officer</v>
      </c>
      <c r="Y370" t="s">
        <v>81</v>
      </c>
      <c r="Z370">
        <v>3</v>
      </c>
      <c r="AA370" t="s">
        <v>71</v>
      </c>
      <c r="AB370">
        <v>45</v>
      </c>
      <c r="AC370" t="s">
        <v>28</v>
      </c>
      <c r="AD370" t="s">
        <v>74</v>
      </c>
      <c r="AE370" t="s">
        <v>74</v>
      </c>
      <c r="AF370" s="3">
        <v>40634</v>
      </c>
      <c r="AG370">
        <v>9</v>
      </c>
      <c r="AH370">
        <f t="shared" ca="1" si="17"/>
        <v>0.13806500420423984</v>
      </c>
    </row>
    <row r="371" spans="1:34">
      <c r="A371">
        <v>370</v>
      </c>
      <c r="B371" t="s">
        <v>7</v>
      </c>
      <c r="C371">
        <v>6</v>
      </c>
      <c r="D371" t="s">
        <v>134</v>
      </c>
      <c r="E371" t="s">
        <v>81</v>
      </c>
      <c r="F371">
        <v>1</v>
      </c>
      <c r="G371" t="s">
        <v>82</v>
      </c>
      <c r="H371" t="s">
        <v>80</v>
      </c>
      <c r="I371" s="2">
        <v>0.5</v>
      </c>
      <c r="J371" t="s">
        <v>82</v>
      </c>
      <c r="K371" t="s">
        <v>79</v>
      </c>
      <c r="L371" t="s">
        <v>14</v>
      </c>
      <c r="M371">
        <v>0</v>
      </c>
      <c r="N371">
        <v>6</v>
      </c>
      <c r="O371" t="s">
        <v>134</v>
      </c>
      <c r="P371" t="s">
        <v>14</v>
      </c>
      <c r="Q371" s="1" t="s">
        <v>68</v>
      </c>
      <c r="R371" t="s">
        <v>68</v>
      </c>
      <c r="S371" t="e">
        <f>IF(T371="","",INDEX('Backing 4'!U:U,MATCH(T371,'Backing 4'!T:T,0)))</f>
        <v>#N/A</v>
      </c>
      <c r="T371" t="str">
        <f t="shared" si="15"/>
        <v xml:space="preserve"> Junior Officer &amp; Operations</v>
      </c>
      <c r="U371" t="e">
        <f>IF(V371="","",INDEX('Backing 4'!Z:Z,MATCH(V371,'Backing 4'!Y:Y,0)))</f>
        <v>#N/A</v>
      </c>
      <c r="V371" t="str">
        <f t="shared" si="16"/>
        <v xml:space="preserve"> Junior Officer</v>
      </c>
      <c r="W371">
        <v>1</v>
      </c>
      <c r="X371" t="str">
        <f>IF(E371="Y","",IF(Y371="Y",INDEX('Backing 2'!B:B,MATCH(D371,'Backing 2'!C:C,0)),D371))</f>
        <v xml:space="preserve"> Junior Officer</v>
      </c>
      <c r="Y371" t="s">
        <v>81</v>
      </c>
      <c r="Z371">
        <v>0</v>
      </c>
      <c r="AA371" t="s">
        <v>69</v>
      </c>
      <c r="AB371">
        <v>28</v>
      </c>
      <c r="AC371" t="s">
        <v>19</v>
      </c>
      <c r="AD371" t="s">
        <v>19</v>
      </c>
      <c r="AE371" t="s">
        <v>19</v>
      </c>
      <c r="AF371" s="3">
        <v>43556</v>
      </c>
      <c r="AG371">
        <v>1</v>
      </c>
      <c r="AH371">
        <f t="shared" ca="1" si="17"/>
        <v>0.74750439186290851</v>
      </c>
    </row>
    <row r="372" spans="1:34">
      <c r="A372">
        <v>371</v>
      </c>
      <c r="B372" t="s">
        <v>8</v>
      </c>
      <c r="C372">
        <v>6</v>
      </c>
      <c r="D372" t="s">
        <v>134</v>
      </c>
      <c r="E372" t="s">
        <v>81</v>
      </c>
      <c r="F372">
        <v>2</v>
      </c>
      <c r="G372" t="s">
        <v>82</v>
      </c>
      <c r="H372" t="s">
        <v>80</v>
      </c>
      <c r="I372" s="2">
        <v>0.5</v>
      </c>
      <c r="J372" t="s">
        <v>82</v>
      </c>
      <c r="K372" t="s">
        <v>79</v>
      </c>
      <c r="L372" t="s">
        <v>14</v>
      </c>
      <c r="M372">
        <v>0</v>
      </c>
      <c r="N372">
        <v>6</v>
      </c>
      <c r="O372" t="s">
        <v>134</v>
      </c>
      <c r="P372" t="s">
        <v>14</v>
      </c>
      <c r="Q372" s="1" t="s">
        <v>68</v>
      </c>
      <c r="R372" t="s">
        <v>68</v>
      </c>
      <c r="S372" t="e">
        <f>IF(T372="","",INDEX('Backing 4'!U:U,MATCH(T372,'Backing 4'!T:T,0)))</f>
        <v>#N/A</v>
      </c>
      <c r="T372" t="str">
        <f t="shared" si="15"/>
        <v xml:space="preserve"> Junior Officer &amp; Operations</v>
      </c>
      <c r="U372" t="e">
        <f>IF(V372="","",INDEX('Backing 4'!Z:Z,MATCH(V372,'Backing 4'!Y:Y,0)))</f>
        <v>#N/A</v>
      </c>
      <c r="V372" t="str">
        <f t="shared" si="16"/>
        <v xml:space="preserve"> Junior Officer</v>
      </c>
      <c r="W372">
        <v>1</v>
      </c>
      <c r="X372" t="str">
        <f>IF(E372="Y","",IF(Y372="Y",INDEX('Backing 2'!B:B,MATCH(D372,'Backing 2'!C:C,0)),D372))</f>
        <v xml:space="preserve"> Junior Officer</v>
      </c>
      <c r="Y372" t="s">
        <v>81</v>
      </c>
      <c r="Z372">
        <v>0</v>
      </c>
      <c r="AA372" t="s">
        <v>69</v>
      </c>
      <c r="AB372">
        <v>26</v>
      </c>
      <c r="AC372" t="s">
        <v>19</v>
      </c>
      <c r="AD372" t="s">
        <v>19</v>
      </c>
      <c r="AE372" t="s">
        <v>19</v>
      </c>
      <c r="AF372" s="3">
        <v>43556</v>
      </c>
      <c r="AG372">
        <v>1</v>
      </c>
      <c r="AH372">
        <f t="shared" ca="1" si="17"/>
        <v>0.7677784777246216</v>
      </c>
    </row>
    <row r="373" spans="1:34">
      <c r="A373">
        <v>372</v>
      </c>
      <c r="B373" t="s">
        <v>8</v>
      </c>
      <c r="C373">
        <v>4</v>
      </c>
      <c r="D373" t="s">
        <v>135</v>
      </c>
      <c r="E373" t="s">
        <v>81</v>
      </c>
      <c r="F373">
        <v>2</v>
      </c>
      <c r="G373" t="s">
        <v>80</v>
      </c>
      <c r="H373" t="s">
        <v>80</v>
      </c>
      <c r="I373" s="2">
        <v>0.5</v>
      </c>
      <c r="J373" t="s">
        <v>82</v>
      </c>
      <c r="K373" t="s">
        <v>79</v>
      </c>
      <c r="L373" t="s">
        <v>16</v>
      </c>
      <c r="M373">
        <v>0</v>
      </c>
      <c r="N373">
        <v>3</v>
      </c>
      <c r="O373" t="s">
        <v>137</v>
      </c>
      <c r="P373" t="s">
        <v>16</v>
      </c>
      <c r="Q373" s="1" t="s">
        <v>68</v>
      </c>
      <c r="R373" t="s">
        <v>68</v>
      </c>
      <c r="S373" t="e">
        <f>IF(T373="","",INDEX('Backing 4'!U:U,MATCH(T373,'Backing 4'!T:T,0)))</f>
        <v>#N/A</v>
      </c>
      <c r="T373" t="str">
        <f t="shared" si="15"/>
        <v xml:space="preserve"> Manager &amp; Sales &amp; Marketing</v>
      </c>
      <c r="U373" t="e">
        <f>IF(V373="","",INDEX('Backing 4'!Z:Z,MATCH(V373,'Backing 4'!Y:Y,0)))</f>
        <v>#N/A</v>
      </c>
      <c r="V373" t="str">
        <f t="shared" si="16"/>
        <v xml:space="preserve"> Manager</v>
      </c>
      <c r="W373">
        <v>2</v>
      </c>
      <c r="X373" t="str">
        <f>IF(E373="Y","",IF(Y373="Y",INDEX('Backing 2'!B:B,MATCH(D373,'Backing 2'!C:C,0)),D373))</f>
        <v xml:space="preserve"> Manager</v>
      </c>
      <c r="Y373" t="s">
        <v>81</v>
      </c>
      <c r="Z373">
        <v>3</v>
      </c>
      <c r="AA373" t="s">
        <v>71</v>
      </c>
      <c r="AB373">
        <v>43</v>
      </c>
      <c r="AC373" t="s">
        <v>31</v>
      </c>
      <c r="AD373" t="s">
        <v>74</v>
      </c>
      <c r="AE373" t="s">
        <v>74</v>
      </c>
      <c r="AF373" s="3">
        <v>42095</v>
      </c>
      <c r="AG373">
        <v>5</v>
      </c>
      <c r="AH373">
        <f t="shared" ca="1" si="17"/>
        <v>0.84840104481204359</v>
      </c>
    </row>
    <row r="374" spans="1:34">
      <c r="A374">
        <v>373</v>
      </c>
      <c r="B374" t="s">
        <v>8</v>
      </c>
      <c r="C374">
        <v>4</v>
      </c>
      <c r="D374" t="s">
        <v>135</v>
      </c>
      <c r="E374" t="s">
        <v>81</v>
      </c>
      <c r="F374">
        <v>2</v>
      </c>
      <c r="G374" t="s">
        <v>82</v>
      </c>
      <c r="H374" t="s">
        <v>80</v>
      </c>
      <c r="I374" s="2">
        <v>0.5</v>
      </c>
      <c r="J374" t="s">
        <v>82</v>
      </c>
      <c r="K374" t="s">
        <v>79</v>
      </c>
      <c r="L374" t="s">
        <v>14</v>
      </c>
      <c r="M374">
        <v>0</v>
      </c>
      <c r="N374">
        <v>4</v>
      </c>
      <c r="O374" t="s">
        <v>135</v>
      </c>
      <c r="P374" t="s">
        <v>14</v>
      </c>
      <c r="Q374" s="1" t="s">
        <v>68</v>
      </c>
      <c r="R374" t="s">
        <v>68</v>
      </c>
      <c r="S374" t="e">
        <f>IF(T374="","",INDEX('Backing 4'!U:U,MATCH(T374,'Backing 4'!T:T,0)))</f>
        <v>#N/A</v>
      </c>
      <c r="T374" t="str">
        <f t="shared" si="15"/>
        <v xml:space="preserve"> Manager &amp; Operations</v>
      </c>
      <c r="U374" t="e">
        <f>IF(V374="","",INDEX('Backing 4'!Z:Z,MATCH(V374,'Backing 4'!Y:Y,0)))</f>
        <v>#N/A</v>
      </c>
      <c r="V374" t="str">
        <f t="shared" si="16"/>
        <v xml:space="preserve"> Manager</v>
      </c>
      <c r="W374">
        <v>2</v>
      </c>
      <c r="X374" t="str">
        <f>IF(E374="Y","",IF(Y374="Y",INDEX('Backing 2'!B:B,MATCH(D374,'Backing 2'!C:C,0)),D374))</f>
        <v xml:space="preserve"> Manager</v>
      </c>
      <c r="Y374" t="s">
        <v>81</v>
      </c>
      <c r="Z374">
        <v>3</v>
      </c>
      <c r="AA374" t="s">
        <v>70</v>
      </c>
      <c r="AB374">
        <v>34</v>
      </c>
      <c r="AC374" t="s">
        <v>19</v>
      </c>
      <c r="AD374" t="s">
        <v>19</v>
      </c>
      <c r="AE374" t="s">
        <v>19</v>
      </c>
      <c r="AF374" s="3">
        <v>41000</v>
      </c>
      <c r="AG374">
        <v>8</v>
      </c>
      <c r="AH374">
        <f t="shared" ca="1" si="17"/>
        <v>0.59466752476079943</v>
      </c>
    </row>
    <row r="375" spans="1:34">
      <c r="A375">
        <v>374</v>
      </c>
      <c r="B375" t="s">
        <v>7</v>
      </c>
      <c r="C375">
        <v>4</v>
      </c>
      <c r="D375" t="s">
        <v>135</v>
      </c>
      <c r="E375" t="s">
        <v>81</v>
      </c>
      <c r="F375">
        <v>3</v>
      </c>
      <c r="G375" t="s">
        <v>82</v>
      </c>
      <c r="H375" t="s">
        <v>80</v>
      </c>
      <c r="I375" s="2">
        <v>0.5</v>
      </c>
      <c r="J375" t="s">
        <v>82</v>
      </c>
      <c r="K375" t="s">
        <v>79</v>
      </c>
      <c r="L375" t="s">
        <v>15</v>
      </c>
      <c r="M375">
        <v>0</v>
      </c>
      <c r="N375">
        <v>4</v>
      </c>
      <c r="O375" t="s">
        <v>135</v>
      </c>
      <c r="P375" t="s">
        <v>15</v>
      </c>
      <c r="Q375" s="1" t="s">
        <v>68</v>
      </c>
      <c r="R375" t="s">
        <v>68</v>
      </c>
      <c r="S375" t="e">
        <f>IF(T375="","",INDEX('Backing 4'!U:U,MATCH(T375,'Backing 4'!T:T,0)))</f>
        <v>#N/A</v>
      </c>
      <c r="T375" t="str">
        <f t="shared" si="15"/>
        <v xml:space="preserve"> Manager &amp; Internal Services</v>
      </c>
      <c r="U375" t="e">
        <f>IF(V375="","",INDEX('Backing 4'!Z:Z,MATCH(V375,'Backing 4'!Y:Y,0)))</f>
        <v>#N/A</v>
      </c>
      <c r="V375" t="str">
        <f t="shared" si="16"/>
        <v xml:space="preserve"> Manager</v>
      </c>
      <c r="W375">
        <v>3</v>
      </c>
      <c r="X375" t="str">
        <f>IF(E375="Y","",IF(Y375="Y",INDEX('Backing 2'!B:B,MATCH(D375,'Backing 2'!C:C,0)),D375))</f>
        <v xml:space="preserve"> Manager</v>
      </c>
      <c r="Y375" t="s">
        <v>81</v>
      </c>
      <c r="Z375">
        <v>2</v>
      </c>
      <c r="AA375" t="s">
        <v>71</v>
      </c>
      <c r="AB375">
        <v>41</v>
      </c>
      <c r="AC375" t="s">
        <v>31</v>
      </c>
      <c r="AD375" t="s">
        <v>74</v>
      </c>
      <c r="AE375" t="s">
        <v>74</v>
      </c>
      <c r="AF375" s="3">
        <v>41730</v>
      </c>
      <c r="AG375">
        <v>6</v>
      </c>
      <c r="AH375">
        <f t="shared" ca="1" si="17"/>
        <v>0.4795178823863675</v>
      </c>
    </row>
    <row r="376" spans="1:34">
      <c r="A376">
        <v>375</v>
      </c>
      <c r="B376" t="s">
        <v>7</v>
      </c>
      <c r="C376">
        <v>5</v>
      </c>
      <c r="D376" t="s">
        <v>138</v>
      </c>
      <c r="E376" t="s">
        <v>81</v>
      </c>
      <c r="F376">
        <v>2</v>
      </c>
      <c r="G376" t="s">
        <v>82</v>
      </c>
      <c r="H376" t="s">
        <v>80</v>
      </c>
      <c r="I376" s="2">
        <v>0.5</v>
      </c>
      <c r="J376" t="s">
        <v>82</v>
      </c>
      <c r="K376" t="s">
        <v>79</v>
      </c>
      <c r="L376" t="s">
        <v>14</v>
      </c>
      <c r="M376">
        <v>0</v>
      </c>
      <c r="N376">
        <v>5</v>
      </c>
      <c r="O376" t="s">
        <v>138</v>
      </c>
      <c r="P376" t="s">
        <v>14</v>
      </c>
      <c r="Q376" s="1" t="s">
        <v>68</v>
      </c>
      <c r="R376" t="s">
        <v>68</v>
      </c>
      <c r="S376" t="e">
        <f>IF(T376="","",INDEX('Backing 4'!U:U,MATCH(T376,'Backing 4'!T:T,0)))</f>
        <v>#N/A</v>
      </c>
      <c r="T376" t="str">
        <f t="shared" si="15"/>
        <v xml:space="preserve"> Senior Officer &amp; Operations</v>
      </c>
      <c r="U376" t="e">
        <f>IF(V376="","",INDEX('Backing 4'!Z:Z,MATCH(V376,'Backing 4'!Y:Y,0)))</f>
        <v>#N/A</v>
      </c>
      <c r="V376" t="str">
        <f t="shared" si="16"/>
        <v xml:space="preserve"> Senior Officer</v>
      </c>
      <c r="W376">
        <v>2</v>
      </c>
      <c r="X376" t="str">
        <f>IF(E376="Y","",IF(Y376="Y",INDEX('Backing 2'!B:B,MATCH(D376,'Backing 2'!C:C,0)),D376))</f>
        <v xml:space="preserve"> Senior Officer</v>
      </c>
      <c r="Y376" t="s">
        <v>81</v>
      </c>
      <c r="Z376">
        <v>2</v>
      </c>
      <c r="AA376" t="s">
        <v>69</v>
      </c>
      <c r="AB376">
        <v>28</v>
      </c>
      <c r="AC376" t="s">
        <v>30</v>
      </c>
      <c r="AD376" t="s">
        <v>74</v>
      </c>
      <c r="AE376" t="s">
        <v>74</v>
      </c>
      <c r="AF376" s="3">
        <v>40634</v>
      </c>
      <c r="AG376">
        <v>9</v>
      </c>
      <c r="AH376">
        <f t="shared" ca="1" si="17"/>
        <v>0.3546332508745299</v>
      </c>
    </row>
    <row r="377" spans="1:34">
      <c r="A377">
        <v>376</v>
      </c>
      <c r="B377" t="s">
        <v>8</v>
      </c>
      <c r="C377">
        <v>3</v>
      </c>
      <c r="D377" t="s">
        <v>137</v>
      </c>
      <c r="E377" t="s">
        <v>81</v>
      </c>
      <c r="F377">
        <v>2</v>
      </c>
      <c r="G377" t="s">
        <v>82</v>
      </c>
      <c r="H377" t="s">
        <v>80</v>
      </c>
      <c r="I377" s="2">
        <v>0.5</v>
      </c>
      <c r="J377" t="s">
        <v>82</v>
      </c>
      <c r="K377" t="s">
        <v>79</v>
      </c>
      <c r="L377" t="s">
        <v>16</v>
      </c>
      <c r="M377">
        <v>0</v>
      </c>
      <c r="N377">
        <v>3</v>
      </c>
      <c r="O377" t="s">
        <v>137</v>
      </c>
      <c r="P377" t="s">
        <v>16</v>
      </c>
      <c r="Q377" s="1" t="s">
        <v>68</v>
      </c>
      <c r="R377" t="s">
        <v>68</v>
      </c>
      <c r="S377" t="e">
        <f>IF(T377="","",INDEX('Backing 4'!U:U,MATCH(T377,'Backing 4'!T:T,0)))</f>
        <v>#N/A</v>
      </c>
      <c r="T377" t="str">
        <f t="shared" si="15"/>
        <v xml:space="preserve"> Senior Manager &amp; Sales &amp; Marketing</v>
      </c>
      <c r="U377" t="e">
        <f>IF(V377="","",INDEX('Backing 4'!Z:Z,MATCH(V377,'Backing 4'!Y:Y,0)))</f>
        <v>#N/A</v>
      </c>
      <c r="V377" t="str">
        <f t="shared" si="16"/>
        <v xml:space="preserve"> Senior Manager</v>
      </c>
      <c r="W377">
        <v>1</v>
      </c>
      <c r="X377" t="e">
        <f>IF(E377="Y","",IF(Y377="Y",INDEX('Backing 2'!B:B,MATCH(D377,'Backing 2'!C:C,0)),D377))</f>
        <v>#N/A</v>
      </c>
      <c r="Y377" t="s">
        <v>79</v>
      </c>
      <c r="Z377">
        <v>1</v>
      </c>
      <c r="AA377" t="s">
        <v>70</v>
      </c>
      <c r="AB377">
        <v>34</v>
      </c>
      <c r="AC377" t="s">
        <v>19</v>
      </c>
      <c r="AD377" t="s">
        <v>19</v>
      </c>
      <c r="AE377" t="s">
        <v>19</v>
      </c>
      <c r="AF377" s="3">
        <v>42826</v>
      </c>
      <c r="AG377">
        <v>3</v>
      </c>
      <c r="AH377">
        <f t="shared" ca="1" si="17"/>
        <v>0.65999052916570222</v>
      </c>
    </row>
    <row r="378" spans="1:34">
      <c r="A378">
        <v>377</v>
      </c>
      <c r="B378" t="s">
        <v>7</v>
      </c>
      <c r="C378">
        <v>6</v>
      </c>
      <c r="D378" t="s">
        <v>134</v>
      </c>
      <c r="E378" t="s">
        <v>81</v>
      </c>
      <c r="F378">
        <v>2</v>
      </c>
      <c r="G378" t="s">
        <v>82</v>
      </c>
      <c r="H378" t="s">
        <v>80</v>
      </c>
      <c r="I378" s="2">
        <v>0.5</v>
      </c>
      <c r="J378" t="s">
        <v>82</v>
      </c>
      <c r="K378" t="s">
        <v>79</v>
      </c>
      <c r="L378" t="s">
        <v>17</v>
      </c>
      <c r="M378">
        <v>0</v>
      </c>
      <c r="N378">
        <v>6</v>
      </c>
      <c r="O378" t="s">
        <v>134</v>
      </c>
      <c r="P378" t="s">
        <v>17</v>
      </c>
      <c r="Q378" s="1" t="s">
        <v>68</v>
      </c>
      <c r="R378" t="s">
        <v>68</v>
      </c>
      <c r="S378" t="e">
        <f>IF(T378="","",INDEX('Backing 4'!U:U,MATCH(T378,'Backing 4'!T:T,0)))</f>
        <v>#N/A</v>
      </c>
      <c r="T378" t="str">
        <f t="shared" si="15"/>
        <v xml:space="preserve"> Junior Officer &amp; Strategy</v>
      </c>
      <c r="U378" t="e">
        <f>IF(V378="","",INDEX('Backing 4'!Z:Z,MATCH(V378,'Backing 4'!Y:Y,0)))</f>
        <v>#N/A</v>
      </c>
      <c r="V378" t="str">
        <f t="shared" si="16"/>
        <v xml:space="preserve"> Junior Officer</v>
      </c>
      <c r="W378">
        <v>3</v>
      </c>
      <c r="X378" t="str">
        <f>IF(E378="Y","",IF(Y378="Y",INDEX('Backing 2'!B:B,MATCH(D378,'Backing 2'!C:C,0)),D378))</f>
        <v xml:space="preserve"> Junior Officer</v>
      </c>
      <c r="Y378" t="s">
        <v>81</v>
      </c>
      <c r="Z378">
        <v>2</v>
      </c>
      <c r="AA378" t="s">
        <v>69</v>
      </c>
      <c r="AB378">
        <v>24</v>
      </c>
      <c r="AC378" t="s">
        <v>19</v>
      </c>
      <c r="AD378" t="s">
        <v>19</v>
      </c>
      <c r="AE378" t="s">
        <v>19</v>
      </c>
      <c r="AF378" s="3">
        <v>42826</v>
      </c>
      <c r="AG378">
        <v>3</v>
      </c>
      <c r="AH378">
        <f t="shared" ca="1" si="17"/>
        <v>0.4823012482942548</v>
      </c>
    </row>
    <row r="379" spans="1:34">
      <c r="A379">
        <v>378</v>
      </c>
      <c r="B379" t="s">
        <v>8</v>
      </c>
      <c r="C379">
        <v>6</v>
      </c>
      <c r="D379" t="s">
        <v>134</v>
      </c>
      <c r="E379" t="s">
        <v>79</v>
      </c>
      <c r="F379">
        <v>0</v>
      </c>
      <c r="G379" t="s">
        <v>82</v>
      </c>
      <c r="H379" t="s">
        <v>82</v>
      </c>
      <c r="I379" s="2">
        <v>0.5</v>
      </c>
      <c r="J379" t="s">
        <v>82</v>
      </c>
      <c r="K379" t="s">
        <v>81</v>
      </c>
      <c r="L379" t="s">
        <v>14</v>
      </c>
      <c r="M379">
        <v>0</v>
      </c>
      <c r="N379">
        <v>6</v>
      </c>
      <c r="O379" t="s">
        <v>134</v>
      </c>
      <c r="P379" t="s">
        <v>14</v>
      </c>
      <c r="Q379" s="1" t="s">
        <v>68</v>
      </c>
      <c r="R379" t="s">
        <v>68</v>
      </c>
      <c r="S379" t="e">
        <f>IF(T379="","",INDEX('Backing 4'!U:U,MATCH(T379,'Backing 4'!T:T,0)))</f>
        <v>#N/A</v>
      </c>
      <c r="T379" t="str">
        <f t="shared" si="15"/>
        <v xml:space="preserve"> Junior Officer &amp; Operations</v>
      </c>
      <c r="U379" t="e">
        <f>IF(V379="","",INDEX('Backing 4'!Z:Z,MATCH(V379,'Backing 4'!Y:Y,0)))</f>
        <v>#N/A</v>
      </c>
      <c r="V379" t="str">
        <f t="shared" si="16"/>
        <v xml:space="preserve"> Junior Officer</v>
      </c>
      <c r="W379">
        <v>0</v>
      </c>
      <c r="X379" t="str">
        <f>IF(E379="Y","",IF(Y379="Y",INDEX('Backing 2'!B:B,MATCH(D379,'Backing 2'!C:C,0)),D379))</f>
        <v/>
      </c>
      <c r="Y379" t="s">
        <v>81</v>
      </c>
      <c r="Z379">
        <v>0</v>
      </c>
      <c r="AA379" t="s">
        <v>69</v>
      </c>
      <c r="AB379">
        <v>20</v>
      </c>
      <c r="AC379" t="s">
        <v>31</v>
      </c>
      <c r="AD379" t="s">
        <v>74</v>
      </c>
      <c r="AE379" t="s">
        <v>74</v>
      </c>
      <c r="AF379" s="3">
        <v>43922</v>
      </c>
      <c r="AG379">
        <v>0</v>
      </c>
      <c r="AH379">
        <f t="shared" ca="1" si="17"/>
        <v>0.59630991401841027</v>
      </c>
    </row>
    <row r="380" spans="1:34">
      <c r="A380">
        <v>379</v>
      </c>
      <c r="B380" t="s">
        <v>7</v>
      </c>
      <c r="C380">
        <v>5</v>
      </c>
      <c r="D380" t="s">
        <v>138</v>
      </c>
      <c r="E380" t="s">
        <v>81</v>
      </c>
      <c r="F380">
        <v>3</v>
      </c>
      <c r="G380" t="s">
        <v>82</v>
      </c>
      <c r="H380" t="s">
        <v>80</v>
      </c>
      <c r="I380" s="2">
        <v>0.5</v>
      </c>
      <c r="J380" t="s">
        <v>82</v>
      </c>
      <c r="K380" t="s">
        <v>79</v>
      </c>
      <c r="L380" t="s">
        <v>16</v>
      </c>
      <c r="M380">
        <v>0</v>
      </c>
      <c r="N380">
        <v>5</v>
      </c>
      <c r="O380" t="s">
        <v>138</v>
      </c>
      <c r="P380" t="s">
        <v>16</v>
      </c>
      <c r="Q380" s="1" t="s">
        <v>68</v>
      </c>
      <c r="R380" t="s">
        <v>68</v>
      </c>
      <c r="S380" t="e">
        <f>IF(T380="","",INDEX('Backing 4'!U:U,MATCH(T380,'Backing 4'!T:T,0)))</f>
        <v>#N/A</v>
      </c>
      <c r="T380" t="str">
        <f t="shared" si="15"/>
        <v xml:space="preserve"> Senior Officer &amp; Sales &amp; Marketing</v>
      </c>
      <c r="U380" t="e">
        <f>IF(V380="","",INDEX('Backing 4'!Z:Z,MATCH(V380,'Backing 4'!Y:Y,0)))</f>
        <v>#N/A</v>
      </c>
      <c r="V380" t="str">
        <f t="shared" si="16"/>
        <v xml:space="preserve"> Senior Officer</v>
      </c>
      <c r="W380">
        <v>1</v>
      </c>
      <c r="X380" t="e">
        <f>IF(E380="Y","",IF(Y380="Y",INDEX('Backing 2'!B:B,MATCH(D380,'Backing 2'!C:C,0)),D380))</f>
        <v>#N/A</v>
      </c>
      <c r="Y380" t="s">
        <v>79</v>
      </c>
      <c r="Z380">
        <v>1</v>
      </c>
      <c r="AA380" t="s">
        <v>69</v>
      </c>
      <c r="AB380">
        <v>29</v>
      </c>
      <c r="AC380" t="s">
        <v>26</v>
      </c>
      <c r="AD380" t="s">
        <v>74</v>
      </c>
      <c r="AE380" t="s">
        <v>74</v>
      </c>
      <c r="AF380" s="3">
        <v>41365</v>
      </c>
      <c r="AG380">
        <v>7</v>
      </c>
      <c r="AH380">
        <f t="shared" ca="1" si="17"/>
        <v>0.26609378812040718</v>
      </c>
    </row>
    <row r="381" spans="1:34">
      <c r="A381">
        <v>380</v>
      </c>
      <c r="B381" t="s">
        <v>7</v>
      </c>
      <c r="C381">
        <v>6</v>
      </c>
      <c r="D381" t="s">
        <v>134</v>
      </c>
      <c r="E381" t="s">
        <v>81</v>
      </c>
      <c r="F381">
        <v>3</v>
      </c>
      <c r="G381" t="s">
        <v>82</v>
      </c>
      <c r="H381" t="s">
        <v>80</v>
      </c>
      <c r="I381" s="2">
        <v>0.5</v>
      </c>
      <c r="J381" t="s">
        <v>82</v>
      </c>
      <c r="K381" t="s">
        <v>79</v>
      </c>
      <c r="L381" t="s">
        <v>16</v>
      </c>
      <c r="M381">
        <v>0</v>
      </c>
      <c r="N381">
        <v>6</v>
      </c>
      <c r="O381" t="s">
        <v>134</v>
      </c>
      <c r="P381" t="s">
        <v>16</v>
      </c>
      <c r="Q381" s="1" t="s">
        <v>68</v>
      </c>
      <c r="R381" t="s">
        <v>68</v>
      </c>
      <c r="S381" t="e">
        <f>IF(T381="","",INDEX('Backing 4'!U:U,MATCH(T381,'Backing 4'!T:T,0)))</f>
        <v>#N/A</v>
      </c>
      <c r="T381" t="str">
        <f t="shared" si="15"/>
        <v xml:space="preserve"> Junior Officer &amp; Sales &amp; Marketing</v>
      </c>
      <c r="U381" t="e">
        <f>IF(V381="","",INDEX('Backing 4'!Z:Z,MATCH(V381,'Backing 4'!Y:Y,0)))</f>
        <v>#N/A</v>
      </c>
      <c r="V381" t="str">
        <f t="shared" si="16"/>
        <v xml:space="preserve"> Junior Officer</v>
      </c>
      <c r="W381">
        <v>3</v>
      </c>
      <c r="X381" t="str">
        <f>IF(E381="Y","",IF(Y381="Y",INDEX('Backing 2'!B:B,MATCH(D381,'Backing 2'!C:C,0)),D381))</f>
        <v xml:space="preserve"> Junior Officer</v>
      </c>
      <c r="Y381" t="s">
        <v>81</v>
      </c>
      <c r="Z381">
        <v>2</v>
      </c>
      <c r="AA381" t="s">
        <v>69</v>
      </c>
      <c r="AB381">
        <v>22</v>
      </c>
      <c r="AC381" t="s">
        <v>19</v>
      </c>
      <c r="AD381" t="s">
        <v>19</v>
      </c>
      <c r="AE381" t="s">
        <v>19</v>
      </c>
      <c r="AF381" s="3">
        <v>42826</v>
      </c>
      <c r="AG381">
        <v>3</v>
      </c>
      <c r="AH381">
        <f t="shared" ca="1" si="17"/>
        <v>0.36551884883981878</v>
      </c>
    </row>
    <row r="382" spans="1:34">
      <c r="A382">
        <v>381</v>
      </c>
      <c r="B382" t="s">
        <v>8</v>
      </c>
      <c r="C382">
        <v>6</v>
      </c>
      <c r="D382" t="s">
        <v>134</v>
      </c>
      <c r="E382" t="s">
        <v>81</v>
      </c>
      <c r="F382">
        <v>2</v>
      </c>
      <c r="G382" t="s">
        <v>82</v>
      </c>
      <c r="H382" t="s">
        <v>80</v>
      </c>
      <c r="I382" s="2">
        <v>0.5</v>
      </c>
      <c r="J382" t="s">
        <v>82</v>
      </c>
      <c r="K382" t="s">
        <v>79</v>
      </c>
      <c r="L382" t="s">
        <v>12</v>
      </c>
      <c r="M382">
        <v>0</v>
      </c>
      <c r="N382">
        <v>6</v>
      </c>
      <c r="O382" t="s">
        <v>134</v>
      </c>
      <c r="P382" t="s">
        <v>12</v>
      </c>
      <c r="Q382" s="1" t="s">
        <v>68</v>
      </c>
      <c r="R382" t="s">
        <v>68</v>
      </c>
      <c r="S382" t="e">
        <f>IF(T382="","",INDEX('Backing 4'!U:U,MATCH(T382,'Backing 4'!T:T,0)))</f>
        <v>#N/A</v>
      </c>
      <c r="T382" t="str">
        <f t="shared" si="15"/>
        <v xml:space="preserve"> Junior Officer &amp; Finance</v>
      </c>
      <c r="U382" t="e">
        <f>IF(V382="","",INDEX('Backing 4'!Z:Z,MATCH(V382,'Backing 4'!Y:Y,0)))</f>
        <v>#N/A</v>
      </c>
      <c r="V382" t="str">
        <f t="shared" si="16"/>
        <v xml:space="preserve"> Junior Officer</v>
      </c>
      <c r="W382">
        <v>2</v>
      </c>
      <c r="X382" t="str">
        <f>IF(E382="Y","",IF(Y382="Y",INDEX('Backing 2'!B:B,MATCH(D382,'Backing 2'!C:C,0)),D382))</f>
        <v xml:space="preserve"> Junior Officer</v>
      </c>
      <c r="Y382" t="s">
        <v>81</v>
      </c>
      <c r="Z382">
        <v>3</v>
      </c>
      <c r="AA382" t="s">
        <v>69</v>
      </c>
      <c r="AB382">
        <v>23</v>
      </c>
      <c r="AC382" t="s">
        <v>19</v>
      </c>
      <c r="AD382" t="s">
        <v>19</v>
      </c>
      <c r="AE382" t="s">
        <v>19</v>
      </c>
      <c r="AF382" s="3">
        <v>43191</v>
      </c>
      <c r="AG382">
        <v>2</v>
      </c>
      <c r="AH382">
        <f t="shared" ca="1" si="17"/>
        <v>0.43216611189356569</v>
      </c>
    </row>
    <row r="383" spans="1:34">
      <c r="A383">
        <v>382</v>
      </c>
      <c r="B383" t="s">
        <v>8</v>
      </c>
      <c r="C383">
        <v>6</v>
      </c>
      <c r="D383" t="s">
        <v>134</v>
      </c>
      <c r="E383" t="s">
        <v>81</v>
      </c>
      <c r="F383">
        <v>2</v>
      </c>
      <c r="G383" t="s">
        <v>82</v>
      </c>
      <c r="H383" t="s">
        <v>80</v>
      </c>
      <c r="I383" s="2">
        <v>0.5</v>
      </c>
      <c r="J383" t="s">
        <v>82</v>
      </c>
      <c r="K383" t="s">
        <v>79</v>
      </c>
      <c r="L383" t="s">
        <v>15</v>
      </c>
      <c r="M383">
        <v>0</v>
      </c>
      <c r="N383">
        <v>6</v>
      </c>
      <c r="O383" t="s">
        <v>134</v>
      </c>
      <c r="P383" t="s">
        <v>15</v>
      </c>
      <c r="Q383" s="1" t="s">
        <v>68</v>
      </c>
      <c r="R383" t="s">
        <v>68</v>
      </c>
      <c r="S383" t="e">
        <f>IF(T383="","",INDEX('Backing 4'!U:U,MATCH(T383,'Backing 4'!T:T,0)))</f>
        <v>#N/A</v>
      </c>
      <c r="T383" t="str">
        <f t="shared" si="15"/>
        <v xml:space="preserve"> Junior Officer &amp; Internal Services</v>
      </c>
      <c r="U383" t="e">
        <f>IF(V383="","",INDEX('Backing 4'!Z:Z,MATCH(V383,'Backing 4'!Y:Y,0)))</f>
        <v>#N/A</v>
      </c>
      <c r="V383" t="str">
        <f t="shared" si="16"/>
        <v xml:space="preserve"> Junior Officer</v>
      </c>
      <c r="W383">
        <v>2</v>
      </c>
      <c r="X383" t="str">
        <f>IF(E383="Y","",IF(Y383="Y",INDEX('Backing 2'!B:B,MATCH(D383,'Backing 2'!C:C,0)),D383))</f>
        <v xml:space="preserve"> Junior Officer</v>
      </c>
      <c r="Y383" t="s">
        <v>81</v>
      </c>
      <c r="Z383">
        <v>3</v>
      </c>
      <c r="AA383" t="s">
        <v>69</v>
      </c>
      <c r="AB383">
        <v>23</v>
      </c>
      <c r="AC383" t="s">
        <v>19</v>
      </c>
      <c r="AD383" t="s">
        <v>19</v>
      </c>
      <c r="AE383" t="s">
        <v>19</v>
      </c>
      <c r="AF383" s="3">
        <v>43191</v>
      </c>
      <c r="AG383">
        <v>2</v>
      </c>
      <c r="AH383">
        <f t="shared" ca="1" si="17"/>
        <v>2.5864888834211008E-2</v>
      </c>
    </row>
    <row r="384" spans="1:34">
      <c r="A384">
        <v>383</v>
      </c>
      <c r="B384" t="s">
        <v>8</v>
      </c>
      <c r="C384">
        <v>3</v>
      </c>
      <c r="D384" s="4" t="s">
        <v>137</v>
      </c>
      <c r="E384" t="s">
        <v>81</v>
      </c>
      <c r="F384">
        <v>2</v>
      </c>
      <c r="G384" t="s">
        <v>82</v>
      </c>
      <c r="H384" t="s">
        <v>82</v>
      </c>
      <c r="I384" s="2">
        <v>0.5</v>
      </c>
      <c r="J384" t="s">
        <v>80</v>
      </c>
      <c r="K384" t="s">
        <v>79</v>
      </c>
      <c r="L384" t="s">
        <v>16</v>
      </c>
      <c r="M384" t="s">
        <v>83</v>
      </c>
      <c r="N384">
        <v>0</v>
      </c>
      <c r="O384" t="s">
        <v>142</v>
      </c>
      <c r="P384" t="s">
        <v>16</v>
      </c>
      <c r="Q384" s="1" t="s">
        <v>68</v>
      </c>
      <c r="R384" t="s">
        <v>68</v>
      </c>
      <c r="S384" t="e">
        <f>IF(T384="","",INDEX('Backing 4'!U:U,MATCH(T384,'Backing 4'!T:T,0)))</f>
        <v>#N/A</v>
      </c>
      <c r="T384" t="str">
        <f t="shared" si="15"/>
        <v xml:space="preserve"> Senior Manager &amp; Sales &amp; Marketing</v>
      </c>
      <c r="U384" t="e">
        <f>IF(V384="","",INDEX('Backing 4'!Z:Z,MATCH(V384,'Backing 4'!Y:Y,0)))</f>
        <v>#N/A</v>
      </c>
      <c r="V384" t="str">
        <f t="shared" si="16"/>
        <v xml:space="preserve"> Senior Manager</v>
      </c>
      <c r="W384">
        <v>3</v>
      </c>
      <c r="X384" t="str">
        <f>IF(E384="Y","",IF(Y384="Y",INDEX('Backing 2'!B:B,MATCH(D384,'Backing 2'!C:C,0)),D384))</f>
        <v xml:space="preserve"> Senior Manager</v>
      </c>
      <c r="Y384" t="s">
        <v>81</v>
      </c>
      <c r="Z384">
        <v>4</v>
      </c>
      <c r="AA384" t="s">
        <v>69</v>
      </c>
      <c r="AB384">
        <v>28</v>
      </c>
      <c r="AC384" t="s">
        <v>19</v>
      </c>
      <c r="AD384" t="s">
        <v>19</v>
      </c>
      <c r="AE384" t="s">
        <v>19</v>
      </c>
      <c r="AF384" s="3">
        <v>40634</v>
      </c>
      <c r="AG384">
        <v>9</v>
      </c>
      <c r="AH384">
        <f t="shared" ca="1" si="17"/>
        <v>0.59902885543507645</v>
      </c>
    </row>
    <row r="385" spans="1:34">
      <c r="A385">
        <v>384</v>
      </c>
      <c r="B385" t="s">
        <v>8</v>
      </c>
      <c r="C385">
        <v>6</v>
      </c>
      <c r="D385" t="s">
        <v>134</v>
      </c>
      <c r="E385" t="s">
        <v>79</v>
      </c>
      <c r="F385">
        <v>0</v>
      </c>
      <c r="G385" t="s">
        <v>82</v>
      </c>
      <c r="H385" t="s">
        <v>82</v>
      </c>
      <c r="I385" s="2">
        <v>0.5</v>
      </c>
      <c r="J385" t="s">
        <v>82</v>
      </c>
      <c r="K385" t="s">
        <v>81</v>
      </c>
      <c r="L385" t="s">
        <v>14</v>
      </c>
      <c r="M385">
        <v>0</v>
      </c>
      <c r="N385">
        <v>6</v>
      </c>
      <c r="O385" t="s">
        <v>134</v>
      </c>
      <c r="P385" t="s">
        <v>14</v>
      </c>
      <c r="Q385" s="1" t="s">
        <v>68</v>
      </c>
      <c r="R385" t="s">
        <v>68</v>
      </c>
      <c r="S385" t="e">
        <f>IF(T385="","",INDEX('Backing 4'!U:U,MATCH(T385,'Backing 4'!T:T,0)))</f>
        <v>#N/A</v>
      </c>
      <c r="T385" t="str">
        <f t="shared" si="15"/>
        <v xml:space="preserve"> Junior Officer &amp; Operations</v>
      </c>
      <c r="U385" t="e">
        <f>IF(V385="","",INDEX('Backing 4'!Z:Z,MATCH(V385,'Backing 4'!Y:Y,0)))</f>
        <v>#N/A</v>
      </c>
      <c r="V385" t="str">
        <f t="shared" si="16"/>
        <v xml:space="preserve"> Junior Officer</v>
      </c>
      <c r="W385">
        <v>0</v>
      </c>
      <c r="X385" t="str">
        <f>IF(E385="Y","",IF(Y385="Y",INDEX('Backing 2'!B:B,MATCH(D385,'Backing 2'!C:C,0)),D385))</f>
        <v/>
      </c>
      <c r="Y385" t="s">
        <v>81</v>
      </c>
      <c r="Z385">
        <v>0</v>
      </c>
      <c r="AA385" t="s">
        <v>69</v>
      </c>
      <c r="AB385">
        <v>24</v>
      </c>
      <c r="AC385" t="s">
        <v>26</v>
      </c>
      <c r="AD385" t="s">
        <v>74</v>
      </c>
      <c r="AE385" t="s">
        <v>74</v>
      </c>
      <c r="AF385" s="3">
        <v>43922</v>
      </c>
      <c r="AG385">
        <v>0</v>
      </c>
      <c r="AH385">
        <f t="shared" ca="1" si="17"/>
        <v>0.68605090897319554</v>
      </c>
    </row>
    <row r="386" spans="1:34">
      <c r="A386">
        <v>385</v>
      </c>
      <c r="B386" t="s">
        <v>8</v>
      </c>
      <c r="C386">
        <v>3</v>
      </c>
      <c r="D386" t="s">
        <v>137</v>
      </c>
      <c r="E386" t="s">
        <v>81</v>
      </c>
      <c r="F386">
        <v>2</v>
      </c>
      <c r="G386" t="s">
        <v>80</v>
      </c>
      <c r="H386" t="s">
        <v>80</v>
      </c>
      <c r="I386" s="2">
        <v>0.5</v>
      </c>
      <c r="J386" t="s">
        <v>82</v>
      </c>
      <c r="K386" t="s">
        <v>79</v>
      </c>
      <c r="L386" t="s">
        <v>16</v>
      </c>
      <c r="M386">
        <v>0</v>
      </c>
      <c r="N386">
        <v>2</v>
      </c>
      <c r="O386" t="s">
        <v>136</v>
      </c>
      <c r="P386" t="s">
        <v>16</v>
      </c>
      <c r="Q386" s="1" t="s">
        <v>68</v>
      </c>
      <c r="R386" t="s">
        <v>68</v>
      </c>
      <c r="S386" t="e">
        <f>IF(T386="","",INDEX('Backing 4'!U:U,MATCH(T386,'Backing 4'!T:T,0)))</f>
        <v>#N/A</v>
      </c>
      <c r="T386" t="str">
        <f t="shared" ref="T386:T449" si="18">IF(O386="","",IF(D386="1 - Executive","",D386&amp;" &amp; "&amp;P386))</f>
        <v xml:space="preserve"> Senior Manager &amp; Sales &amp; Marketing</v>
      </c>
      <c r="U386" t="e">
        <f>IF(V386="","",INDEX('Backing 4'!Z:Z,MATCH(V386,'Backing 4'!Y:Y,0)))</f>
        <v>#N/A</v>
      </c>
      <c r="V386" t="str">
        <f t="shared" ref="V386:V449" si="19">IF(O386="","",IF(D386="1 - Executive","",D386))</f>
        <v xml:space="preserve"> Senior Manager</v>
      </c>
      <c r="W386">
        <v>4</v>
      </c>
      <c r="X386" t="str">
        <f>IF(E386="Y","",IF(Y386="Y",INDEX('Backing 2'!B:B,MATCH(D386,'Backing 2'!C:C,0)),D386))</f>
        <v xml:space="preserve"> Senior Manager</v>
      </c>
      <c r="Y386" t="s">
        <v>81</v>
      </c>
      <c r="Z386">
        <v>2</v>
      </c>
      <c r="AA386" t="s">
        <v>71</v>
      </c>
      <c r="AB386">
        <v>44</v>
      </c>
      <c r="AC386" t="s">
        <v>31</v>
      </c>
      <c r="AD386" t="s">
        <v>74</v>
      </c>
      <c r="AE386" t="s">
        <v>74</v>
      </c>
      <c r="AF386" s="3">
        <v>42461</v>
      </c>
      <c r="AG386">
        <v>4</v>
      </c>
      <c r="AH386">
        <f t="shared" ref="AH386:AH449" ca="1" si="20">RAND()</f>
        <v>0.51718277708726124</v>
      </c>
    </row>
    <row r="387" spans="1:34">
      <c r="A387">
        <v>386</v>
      </c>
      <c r="B387" t="s">
        <v>7</v>
      </c>
      <c r="C387">
        <v>6</v>
      </c>
      <c r="D387" t="s">
        <v>134</v>
      </c>
      <c r="E387" t="s">
        <v>81</v>
      </c>
      <c r="F387">
        <v>2</v>
      </c>
      <c r="G387" t="s">
        <v>82</v>
      </c>
      <c r="H387" t="s">
        <v>80</v>
      </c>
      <c r="I387" s="2">
        <v>0.5</v>
      </c>
      <c r="J387" t="s">
        <v>82</v>
      </c>
      <c r="K387" t="s">
        <v>79</v>
      </c>
      <c r="L387" t="s">
        <v>13</v>
      </c>
      <c r="M387">
        <v>0</v>
      </c>
      <c r="N387">
        <v>6</v>
      </c>
      <c r="O387" t="s">
        <v>134</v>
      </c>
      <c r="P387" t="s">
        <v>13</v>
      </c>
      <c r="Q387" s="1" t="s">
        <v>68</v>
      </c>
      <c r="R387" t="s">
        <v>68</v>
      </c>
      <c r="S387" t="e">
        <f>IF(T387="","",INDEX('Backing 4'!U:U,MATCH(T387,'Backing 4'!T:T,0)))</f>
        <v>#N/A</v>
      </c>
      <c r="T387" t="str">
        <f t="shared" si="18"/>
        <v xml:space="preserve"> Junior Officer &amp; HR</v>
      </c>
      <c r="U387" t="e">
        <f>IF(V387="","",INDEX('Backing 4'!Z:Z,MATCH(V387,'Backing 4'!Y:Y,0)))</f>
        <v>#N/A</v>
      </c>
      <c r="V387" t="str">
        <f t="shared" si="19"/>
        <v xml:space="preserve"> Junior Officer</v>
      </c>
      <c r="W387">
        <v>3</v>
      </c>
      <c r="X387" t="str">
        <f>IF(E387="Y","",IF(Y387="Y",INDEX('Backing 2'!B:B,MATCH(D387,'Backing 2'!C:C,0)),D387))</f>
        <v xml:space="preserve"> Junior Officer</v>
      </c>
      <c r="Y387" t="s">
        <v>81</v>
      </c>
      <c r="Z387">
        <v>3</v>
      </c>
      <c r="AA387" t="s">
        <v>69</v>
      </c>
      <c r="AB387">
        <v>24</v>
      </c>
      <c r="AC387" t="s">
        <v>31</v>
      </c>
      <c r="AD387" t="s">
        <v>74</v>
      </c>
      <c r="AE387" t="s">
        <v>74</v>
      </c>
      <c r="AF387" s="3">
        <v>42826</v>
      </c>
      <c r="AG387">
        <v>3</v>
      </c>
      <c r="AH387">
        <f t="shared" ca="1" si="20"/>
        <v>0.71242172416937299</v>
      </c>
    </row>
    <row r="388" spans="1:34">
      <c r="A388">
        <v>387</v>
      </c>
      <c r="B388" t="s">
        <v>7</v>
      </c>
      <c r="C388">
        <v>4</v>
      </c>
      <c r="D388" t="s">
        <v>135</v>
      </c>
      <c r="E388" t="s">
        <v>81</v>
      </c>
      <c r="F388">
        <v>2</v>
      </c>
      <c r="G388" t="s">
        <v>82</v>
      </c>
      <c r="H388" t="s">
        <v>80</v>
      </c>
      <c r="I388" s="2">
        <v>0.5</v>
      </c>
      <c r="J388" t="s">
        <v>82</v>
      </c>
      <c r="K388" t="s">
        <v>79</v>
      </c>
      <c r="L388" t="s">
        <v>14</v>
      </c>
      <c r="M388">
        <v>0</v>
      </c>
      <c r="N388">
        <v>4</v>
      </c>
      <c r="O388" t="s">
        <v>135</v>
      </c>
      <c r="P388" t="s">
        <v>14</v>
      </c>
      <c r="Q388" s="1" t="s">
        <v>68</v>
      </c>
      <c r="R388" t="s">
        <v>68</v>
      </c>
      <c r="S388" t="e">
        <f>IF(T388="","",INDEX('Backing 4'!U:U,MATCH(T388,'Backing 4'!T:T,0)))</f>
        <v>#N/A</v>
      </c>
      <c r="T388" t="str">
        <f t="shared" si="18"/>
        <v xml:space="preserve"> Manager &amp; Operations</v>
      </c>
      <c r="U388" t="e">
        <f>IF(V388="","",INDEX('Backing 4'!Z:Z,MATCH(V388,'Backing 4'!Y:Y,0)))</f>
        <v>#N/A</v>
      </c>
      <c r="V388" t="str">
        <f t="shared" si="19"/>
        <v xml:space="preserve"> Manager</v>
      </c>
      <c r="W388">
        <v>3</v>
      </c>
      <c r="X388" t="str">
        <f>IF(E388="Y","",IF(Y388="Y",INDEX('Backing 2'!B:B,MATCH(D388,'Backing 2'!C:C,0)),D388))</f>
        <v xml:space="preserve"> Manager</v>
      </c>
      <c r="Y388" t="s">
        <v>81</v>
      </c>
      <c r="Z388">
        <v>2</v>
      </c>
      <c r="AA388" t="s">
        <v>71</v>
      </c>
      <c r="AB388">
        <v>40</v>
      </c>
      <c r="AC388" t="s">
        <v>26</v>
      </c>
      <c r="AD388" t="s">
        <v>74</v>
      </c>
      <c r="AE388" t="s">
        <v>74</v>
      </c>
      <c r="AF388" s="3">
        <v>42095</v>
      </c>
      <c r="AG388">
        <v>5</v>
      </c>
      <c r="AH388">
        <f t="shared" ca="1" si="20"/>
        <v>0.60904333195443461</v>
      </c>
    </row>
    <row r="389" spans="1:34">
      <c r="A389">
        <v>388</v>
      </c>
      <c r="B389" t="s">
        <v>8</v>
      </c>
      <c r="C389">
        <v>6</v>
      </c>
      <c r="D389" t="s">
        <v>134</v>
      </c>
      <c r="E389" t="s">
        <v>81</v>
      </c>
      <c r="F389">
        <v>2</v>
      </c>
      <c r="G389" t="s">
        <v>82</v>
      </c>
      <c r="H389" t="s">
        <v>80</v>
      </c>
      <c r="I389" s="2">
        <v>0.5</v>
      </c>
      <c r="J389" t="s">
        <v>82</v>
      </c>
      <c r="K389" t="s">
        <v>79</v>
      </c>
      <c r="L389" t="s">
        <v>16</v>
      </c>
      <c r="M389">
        <v>0</v>
      </c>
      <c r="N389">
        <v>6</v>
      </c>
      <c r="O389" t="s">
        <v>134</v>
      </c>
      <c r="P389" t="s">
        <v>16</v>
      </c>
      <c r="Q389" s="1" t="s">
        <v>68</v>
      </c>
      <c r="R389" t="s">
        <v>68</v>
      </c>
      <c r="S389" t="e">
        <f>IF(T389="","",INDEX('Backing 4'!U:U,MATCH(T389,'Backing 4'!T:T,0)))</f>
        <v>#N/A</v>
      </c>
      <c r="T389" t="str">
        <f t="shared" si="18"/>
        <v xml:space="preserve"> Junior Officer &amp; Sales &amp; Marketing</v>
      </c>
      <c r="U389" t="e">
        <f>IF(V389="","",INDEX('Backing 4'!Z:Z,MATCH(V389,'Backing 4'!Y:Y,0)))</f>
        <v>#N/A</v>
      </c>
      <c r="V389" t="str">
        <f t="shared" si="19"/>
        <v xml:space="preserve"> Junior Officer</v>
      </c>
      <c r="W389">
        <v>3</v>
      </c>
      <c r="X389" t="str">
        <f>IF(E389="Y","",IF(Y389="Y",INDEX('Backing 2'!B:B,MATCH(D389,'Backing 2'!C:C,0)),D389))</f>
        <v xml:space="preserve"> Junior Officer</v>
      </c>
      <c r="Y389" t="s">
        <v>81</v>
      </c>
      <c r="Z389">
        <v>2</v>
      </c>
      <c r="AA389" t="s">
        <v>69</v>
      </c>
      <c r="AB389">
        <v>25</v>
      </c>
      <c r="AC389" t="s">
        <v>19</v>
      </c>
      <c r="AD389" t="s">
        <v>19</v>
      </c>
      <c r="AE389" t="s">
        <v>19</v>
      </c>
      <c r="AF389" s="3">
        <v>42826</v>
      </c>
      <c r="AG389">
        <v>3</v>
      </c>
      <c r="AH389">
        <f t="shared" ca="1" si="20"/>
        <v>0.26051829696142292</v>
      </c>
    </row>
    <row r="390" spans="1:34">
      <c r="A390">
        <v>389</v>
      </c>
      <c r="B390" t="s">
        <v>8</v>
      </c>
      <c r="C390">
        <v>6</v>
      </c>
      <c r="D390" t="s">
        <v>134</v>
      </c>
      <c r="E390" t="s">
        <v>81</v>
      </c>
      <c r="F390">
        <v>3</v>
      </c>
      <c r="G390" t="s">
        <v>82</v>
      </c>
      <c r="H390" t="s">
        <v>80</v>
      </c>
      <c r="I390" s="2">
        <v>0.5</v>
      </c>
      <c r="J390" t="s">
        <v>82</v>
      </c>
      <c r="K390" t="s">
        <v>79</v>
      </c>
      <c r="L390" t="s">
        <v>14</v>
      </c>
      <c r="M390">
        <v>0</v>
      </c>
      <c r="N390">
        <v>6</v>
      </c>
      <c r="O390" t="s">
        <v>134</v>
      </c>
      <c r="P390" t="s">
        <v>14</v>
      </c>
      <c r="Q390" s="1" t="s">
        <v>68</v>
      </c>
      <c r="R390" t="s">
        <v>68</v>
      </c>
      <c r="S390" t="e">
        <f>IF(T390="","",INDEX('Backing 4'!U:U,MATCH(T390,'Backing 4'!T:T,0)))</f>
        <v>#N/A</v>
      </c>
      <c r="T390" t="str">
        <f t="shared" si="18"/>
        <v xml:space="preserve"> Junior Officer &amp; Operations</v>
      </c>
      <c r="U390" t="e">
        <f>IF(V390="","",INDEX('Backing 4'!Z:Z,MATCH(V390,'Backing 4'!Y:Y,0)))</f>
        <v>#N/A</v>
      </c>
      <c r="V390" t="str">
        <f t="shared" si="19"/>
        <v xml:space="preserve"> Junior Officer</v>
      </c>
      <c r="W390">
        <v>3</v>
      </c>
      <c r="X390" t="str">
        <f>IF(E390="Y","",IF(Y390="Y",INDEX('Backing 2'!B:B,MATCH(D390,'Backing 2'!C:C,0)),D390))</f>
        <v xml:space="preserve"> Junior Officer</v>
      </c>
      <c r="Y390" t="s">
        <v>81</v>
      </c>
      <c r="Z390">
        <v>3</v>
      </c>
      <c r="AA390" t="s">
        <v>69</v>
      </c>
      <c r="AB390">
        <v>20</v>
      </c>
      <c r="AC390" t="s">
        <v>19</v>
      </c>
      <c r="AD390" t="s">
        <v>19</v>
      </c>
      <c r="AE390" t="s">
        <v>19</v>
      </c>
      <c r="AF390" s="3">
        <v>42826</v>
      </c>
      <c r="AG390">
        <v>3</v>
      </c>
      <c r="AH390">
        <f t="shared" ca="1" si="20"/>
        <v>0.10096511042698408</v>
      </c>
    </row>
    <row r="391" spans="1:34">
      <c r="A391">
        <v>390</v>
      </c>
      <c r="B391" t="s">
        <v>8</v>
      </c>
      <c r="C391">
        <v>6</v>
      </c>
      <c r="D391" t="s">
        <v>134</v>
      </c>
      <c r="E391" t="s">
        <v>81</v>
      </c>
      <c r="F391">
        <v>2</v>
      </c>
      <c r="G391" t="s">
        <v>82</v>
      </c>
      <c r="H391" t="s">
        <v>80</v>
      </c>
      <c r="I391" s="2">
        <v>0.5</v>
      </c>
      <c r="J391" t="s">
        <v>82</v>
      </c>
      <c r="K391" t="s">
        <v>79</v>
      </c>
      <c r="L391" t="s">
        <v>15</v>
      </c>
      <c r="M391">
        <v>0</v>
      </c>
      <c r="N391">
        <v>6</v>
      </c>
      <c r="O391" t="s">
        <v>134</v>
      </c>
      <c r="P391" t="s">
        <v>15</v>
      </c>
      <c r="Q391" s="1" t="s">
        <v>68</v>
      </c>
      <c r="R391" t="s">
        <v>68</v>
      </c>
      <c r="S391" t="e">
        <f>IF(T391="","",INDEX('Backing 4'!U:U,MATCH(T391,'Backing 4'!T:T,0)))</f>
        <v>#N/A</v>
      </c>
      <c r="T391" t="str">
        <f t="shared" si="18"/>
        <v xml:space="preserve"> Junior Officer &amp; Internal Services</v>
      </c>
      <c r="U391" t="e">
        <f>IF(V391="","",INDEX('Backing 4'!Z:Z,MATCH(V391,'Backing 4'!Y:Y,0)))</f>
        <v>#N/A</v>
      </c>
      <c r="V391" t="str">
        <f t="shared" si="19"/>
        <v xml:space="preserve"> Junior Officer</v>
      </c>
      <c r="W391">
        <v>2</v>
      </c>
      <c r="X391" t="str">
        <f>IF(E391="Y","",IF(Y391="Y",INDEX('Backing 2'!B:B,MATCH(D391,'Backing 2'!C:C,0)),D391))</f>
        <v xml:space="preserve"> Junior Officer</v>
      </c>
      <c r="Y391" t="s">
        <v>81</v>
      </c>
      <c r="Z391">
        <v>3</v>
      </c>
      <c r="AA391" t="s">
        <v>69</v>
      </c>
      <c r="AB391">
        <v>24</v>
      </c>
      <c r="AC391" t="s">
        <v>19</v>
      </c>
      <c r="AD391" t="s">
        <v>19</v>
      </c>
      <c r="AE391" t="s">
        <v>19</v>
      </c>
      <c r="AF391" s="3">
        <v>43191</v>
      </c>
      <c r="AG391">
        <v>2</v>
      </c>
      <c r="AH391">
        <f t="shared" ca="1" si="20"/>
        <v>7.5348408987769511E-2</v>
      </c>
    </row>
    <row r="392" spans="1:34">
      <c r="A392">
        <v>391</v>
      </c>
      <c r="B392" t="s">
        <v>8</v>
      </c>
      <c r="C392">
        <v>4</v>
      </c>
      <c r="D392" t="s">
        <v>135</v>
      </c>
      <c r="E392" t="s">
        <v>81</v>
      </c>
      <c r="F392">
        <v>2</v>
      </c>
      <c r="G392" t="s">
        <v>82</v>
      </c>
      <c r="H392" t="s">
        <v>80</v>
      </c>
      <c r="I392" s="2">
        <v>0.5</v>
      </c>
      <c r="J392" t="s">
        <v>82</v>
      </c>
      <c r="K392" t="s">
        <v>79</v>
      </c>
      <c r="L392" t="s">
        <v>15</v>
      </c>
      <c r="M392">
        <v>0</v>
      </c>
      <c r="N392">
        <v>4</v>
      </c>
      <c r="O392" t="s">
        <v>135</v>
      </c>
      <c r="P392" t="s">
        <v>15</v>
      </c>
      <c r="Q392" s="1" t="s">
        <v>68</v>
      </c>
      <c r="R392" t="s">
        <v>68</v>
      </c>
      <c r="S392" t="e">
        <f>IF(T392="","",INDEX('Backing 4'!U:U,MATCH(T392,'Backing 4'!T:T,0)))</f>
        <v>#N/A</v>
      </c>
      <c r="T392" t="str">
        <f t="shared" si="18"/>
        <v xml:space="preserve"> Manager &amp; Internal Services</v>
      </c>
      <c r="U392" t="e">
        <f>IF(V392="","",INDEX('Backing 4'!Z:Z,MATCH(V392,'Backing 4'!Y:Y,0)))</f>
        <v>#N/A</v>
      </c>
      <c r="V392" t="str">
        <f t="shared" si="19"/>
        <v xml:space="preserve"> Manager</v>
      </c>
      <c r="W392">
        <v>5</v>
      </c>
      <c r="X392" t="str">
        <f>IF(E392="Y","",IF(Y392="Y",INDEX('Backing 2'!B:B,MATCH(D392,'Backing 2'!C:C,0)),D392))</f>
        <v xml:space="preserve"> Manager</v>
      </c>
      <c r="Y392" t="s">
        <v>81</v>
      </c>
      <c r="Z392">
        <v>3</v>
      </c>
      <c r="AA392" t="s">
        <v>70</v>
      </c>
      <c r="AB392">
        <v>36</v>
      </c>
      <c r="AC392" t="s">
        <v>19</v>
      </c>
      <c r="AD392" t="s">
        <v>19</v>
      </c>
      <c r="AE392" t="s">
        <v>19</v>
      </c>
      <c r="AF392" s="3">
        <v>41000</v>
      </c>
      <c r="AG392">
        <v>8</v>
      </c>
      <c r="AH392">
        <f t="shared" ca="1" si="20"/>
        <v>0.95393967582063399</v>
      </c>
    </row>
    <row r="393" spans="1:34">
      <c r="A393">
        <v>392</v>
      </c>
      <c r="B393" t="s">
        <v>8</v>
      </c>
      <c r="C393">
        <v>3</v>
      </c>
      <c r="D393" t="s">
        <v>137</v>
      </c>
      <c r="E393" t="s">
        <v>81</v>
      </c>
      <c r="F393">
        <v>3</v>
      </c>
      <c r="G393" t="s">
        <v>82</v>
      </c>
      <c r="H393" t="s">
        <v>80</v>
      </c>
      <c r="I393" s="2">
        <v>0.5</v>
      </c>
      <c r="J393" t="s">
        <v>82</v>
      </c>
      <c r="K393" t="s">
        <v>79</v>
      </c>
      <c r="L393" t="s">
        <v>14</v>
      </c>
      <c r="M393">
        <v>0</v>
      </c>
      <c r="N393">
        <v>3</v>
      </c>
      <c r="O393" t="s">
        <v>137</v>
      </c>
      <c r="P393" t="s">
        <v>14</v>
      </c>
      <c r="Q393" s="1" t="s">
        <v>68</v>
      </c>
      <c r="R393" t="s">
        <v>68</v>
      </c>
      <c r="S393" t="e">
        <f>IF(T393="","",INDEX('Backing 4'!U:U,MATCH(T393,'Backing 4'!T:T,0)))</f>
        <v>#N/A</v>
      </c>
      <c r="T393" t="str">
        <f t="shared" si="18"/>
        <v xml:space="preserve"> Senior Manager &amp; Operations</v>
      </c>
      <c r="U393" t="e">
        <f>IF(V393="","",INDEX('Backing 4'!Z:Z,MATCH(V393,'Backing 4'!Y:Y,0)))</f>
        <v>#N/A</v>
      </c>
      <c r="V393" t="str">
        <f t="shared" si="19"/>
        <v xml:space="preserve"> Senior Manager</v>
      </c>
      <c r="W393">
        <v>1</v>
      </c>
      <c r="X393" t="e">
        <f>IF(E393="Y","",IF(Y393="Y",INDEX('Backing 2'!B:B,MATCH(D393,'Backing 2'!C:C,0)),D393))</f>
        <v>#N/A</v>
      </c>
      <c r="Y393" t="s">
        <v>79</v>
      </c>
      <c r="Z393">
        <v>2</v>
      </c>
      <c r="AA393" t="s">
        <v>71</v>
      </c>
      <c r="AB393">
        <v>41</v>
      </c>
      <c r="AC393" t="s">
        <v>31</v>
      </c>
      <c r="AD393" t="s">
        <v>74</v>
      </c>
      <c r="AE393" t="s">
        <v>74</v>
      </c>
      <c r="AF393" s="3">
        <v>41730</v>
      </c>
      <c r="AG393">
        <v>6</v>
      </c>
      <c r="AH393">
        <f t="shared" ca="1" si="20"/>
        <v>0.83377791966904202</v>
      </c>
    </row>
    <row r="394" spans="1:34">
      <c r="A394">
        <v>393</v>
      </c>
      <c r="B394" t="s">
        <v>8</v>
      </c>
      <c r="C394">
        <v>5</v>
      </c>
      <c r="D394" t="s">
        <v>138</v>
      </c>
      <c r="E394" t="s">
        <v>81</v>
      </c>
      <c r="F394">
        <v>2</v>
      </c>
      <c r="G394" t="s">
        <v>82</v>
      </c>
      <c r="H394" t="s">
        <v>80</v>
      </c>
      <c r="I394" s="2">
        <v>0.5</v>
      </c>
      <c r="J394" t="s">
        <v>82</v>
      </c>
      <c r="K394" t="s">
        <v>79</v>
      </c>
      <c r="L394" t="s">
        <v>14</v>
      </c>
      <c r="M394">
        <v>0</v>
      </c>
      <c r="N394">
        <v>5</v>
      </c>
      <c r="O394" t="s">
        <v>138</v>
      </c>
      <c r="P394" t="s">
        <v>14</v>
      </c>
      <c r="Q394" s="1" t="s">
        <v>68</v>
      </c>
      <c r="R394" t="s">
        <v>68</v>
      </c>
      <c r="S394" t="e">
        <f>IF(T394="","",INDEX('Backing 4'!U:U,MATCH(T394,'Backing 4'!T:T,0)))</f>
        <v>#N/A</v>
      </c>
      <c r="T394" t="str">
        <f t="shared" si="18"/>
        <v xml:space="preserve"> Senior Officer &amp; Operations</v>
      </c>
      <c r="U394" t="e">
        <f>IF(V394="","",INDEX('Backing 4'!Z:Z,MATCH(V394,'Backing 4'!Y:Y,0)))</f>
        <v>#N/A</v>
      </c>
      <c r="V394" t="str">
        <f t="shared" si="19"/>
        <v xml:space="preserve"> Senior Officer</v>
      </c>
      <c r="W394">
        <v>3</v>
      </c>
      <c r="X394" t="str">
        <f>IF(E394="Y","",IF(Y394="Y",INDEX('Backing 2'!B:B,MATCH(D394,'Backing 2'!C:C,0)),D394))</f>
        <v xml:space="preserve"> Senior Officer</v>
      </c>
      <c r="Y394" t="s">
        <v>81</v>
      </c>
      <c r="Z394">
        <v>2</v>
      </c>
      <c r="AA394" t="s">
        <v>69</v>
      </c>
      <c r="AB394">
        <v>28</v>
      </c>
      <c r="AC394" t="s">
        <v>19</v>
      </c>
      <c r="AD394" t="s">
        <v>19</v>
      </c>
      <c r="AE394" t="s">
        <v>19</v>
      </c>
      <c r="AF394" s="3">
        <v>40634</v>
      </c>
      <c r="AG394">
        <v>9</v>
      </c>
      <c r="AH394">
        <f t="shared" ca="1" si="20"/>
        <v>0.9059465432602205</v>
      </c>
    </row>
    <row r="395" spans="1:34">
      <c r="A395">
        <v>394</v>
      </c>
      <c r="B395" t="s">
        <v>8</v>
      </c>
      <c r="C395">
        <v>4</v>
      </c>
      <c r="D395" t="s">
        <v>135</v>
      </c>
      <c r="E395" t="s">
        <v>81</v>
      </c>
      <c r="F395">
        <v>3</v>
      </c>
      <c r="G395" t="s">
        <v>82</v>
      </c>
      <c r="H395" t="s">
        <v>80</v>
      </c>
      <c r="I395" s="2">
        <v>0.5</v>
      </c>
      <c r="J395" t="s">
        <v>82</v>
      </c>
      <c r="K395" t="s">
        <v>79</v>
      </c>
      <c r="L395" t="s">
        <v>14</v>
      </c>
      <c r="M395">
        <v>0</v>
      </c>
      <c r="N395">
        <v>4</v>
      </c>
      <c r="O395" t="s">
        <v>135</v>
      </c>
      <c r="P395" t="s">
        <v>14</v>
      </c>
      <c r="Q395" s="1" t="s">
        <v>68</v>
      </c>
      <c r="R395" t="s">
        <v>68</v>
      </c>
      <c r="S395" t="e">
        <f>IF(T395="","",INDEX('Backing 4'!U:U,MATCH(T395,'Backing 4'!T:T,0)))</f>
        <v>#N/A</v>
      </c>
      <c r="T395" t="str">
        <f t="shared" si="18"/>
        <v xml:space="preserve"> Manager &amp; Operations</v>
      </c>
      <c r="U395" t="e">
        <f>IF(V395="","",INDEX('Backing 4'!Z:Z,MATCH(V395,'Backing 4'!Y:Y,0)))</f>
        <v>#N/A</v>
      </c>
      <c r="V395" t="str">
        <f t="shared" si="19"/>
        <v xml:space="preserve"> Manager</v>
      </c>
      <c r="W395">
        <v>5</v>
      </c>
      <c r="X395" t="str">
        <f>IF(E395="Y","",IF(Y395="Y",INDEX('Backing 2'!B:B,MATCH(D395,'Backing 2'!C:C,0)),D395))</f>
        <v xml:space="preserve"> Manager</v>
      </c>
      <c r="Y395" t="s">
        <v>81</v>
      </c>
      <c r="Z395">
        <v>3</v>
      </c>
      <c r="AA395" t="s">
        <v>70</v>
      </c>
      <c r="AB395">
        <v>34</v>
      </c>
      <c r="AC395" t="s">
        <v>19</v>
      </c>
      <c r="AD395" t="s">
        <v>19</v>
      </c>
      <c r="AE395" t="s">
        <v>19</v>
      </c>
      <c r="AF395" s="3">
        <v>41365</v>
      </c>
      <c r="AG395">
        <v>7</v>
      </c>
      <c r="AH395">
        <f t="shared" ca="1" si="20"/>
        <v>0.76751399202643855</v>
      </c>
    </row>
    <row r="396" spans="1:34">
      <c r="A396">
        <v>395</v>
      </c>
      <c r="B396" t="s">
        <v>8</v>
      </c>
      <c r="C396">
        <v>6</v>
      </c>
      <c r="D396" t="s">
        <v>134</v>
      </c>
      <c r="E396" t="s">
        <v>81</v>
      </c>
      <c r="F396">
        <v>2</v>
      </c>
      <c r="G396" t="s">
        <v>82</v>
      </c>
      <c r="H396" t="s">
        <v>80</v>
      </c>
      <c r="I396" s="2">
        <v>0.5</v>
      </c>
      <c r="J396" t="s">
        <v>82</v>
      </c>
      <c r="K396" t="s">
        <v>79</v>
      </c>
      <c r="L396" t="s">
        <v>14</v>
      </c>
      <c r="M396">
        <v>0</v>
      </c>
      <c r="N396">
        <v>6</v>
      </c>
      <c r="O396" t="s">
        <v>134</v>
      </c>
      <c r="P396" t="s">
        <v>14</v>
      </c>
      <c r="Q396" s="1" t="s">
        <v>68</v>
      </c>
      <c r="R396" t="s">
        <v>68</v>
      </c>
      <c r="S396" t="e">
        <f>IF(T396="","",INDEX('Backing 4'!U:U,MATCH(T396,'Backing 4'!T:T,0)))</f>
        <v>#N/A</v>
      </c>
      <c r="T396" t="str">
        <f t="shared" si="18"/>
        <v xml:space="preserve"> Junior Officer &amp; Operations</v>
      </c>
      <c r="U396" t="e">
        <f>IF(V396="","",INDEX('Backing 4'!Z:Z,MATCH(V396,'Backing 4'!Y:Y,0)))</f>
        <v>#N/A</v>
      </c>
      <c r="V396" t="str">
        <f t="shared" si="19"/>
        <v xml:space="preserve"> Junior Officer</v>
      </c>
      <c r="W396">
        <v>3</v>
      </c>
      <c r="X396" t="str">
        <f>IF(E396="Y","",IF(Y396="Y",INDEX('Backing 2'!B:B,MATCH(D396,'Backing 2'!C:C,0)),D396))</f>
        <v xml:space="preserve"> Junior Officer</v>
      </c>
      <c r="Y396" t="s">
        <v>81</v>
      </c>
      <c r="Z396">
        <v>3</v>
      </c>
      <c r="AA396" t="s">
        <v>69</v>
      </c>
      <c r="AB396">
        <v>22</v>
      </c>
      <c r="AC396" t="s">
        <v>31</v>
      </c>
      <c r="AD396" t="s">
        <v>74</v>
      </c>
      <c r="AE396" t="s">
        <v>74</v>
      </c>
      <c r="AF396" s="3">
        <v>42826</v>
      </c>
      <c r="AG396">
        <v>3</v>
      </c>
      <c r="AH396">
        <f t="shared" ca="1" si="20"/>
        <v>0.85444676832745314</v>
      </c>
    </row>
    <row r="397" spans="1:34">
      <c r="A397">
        <v>396</v>
      </c>
      <c r="B397" t="s">
        <v>7</v>
      </c>
      <c r="C397">
        <v>6</v>
      </c>
      <c r="D397" t="s">
        <v>134</v>
      </c>
      <c r="E397" t="s">
        <v>81</v>
      </c>
      <c r="F397">
        <v>3</v>
      </c>
      <c r="G397" t="s">
        <v>82</v>
      </c>
      <c r="H397" t="s">
        <v>80</v>
      </c>
      <c r="I397" s="2">
        <v>0.5</v>
      </c>
      <c r="J397" t="s">
        <v>82</v>
      </c>
      <c r="K397" t="s">
        <v>79</v>
      </c>
      <c r="L397" t="s">
        <v>16</v>
      </c>
      <c r="M397">
        <v>0</v>
      </c>
      <c r="N397">
        <v>6</v>
      </c>
      <c r="O397" t="s">
        <v>134</v>
      </c>
      <c r="P397" t="s">
        <v>16</v>
      </c>
      <c r="Q397" s="1" t="s">
        <v>68</v>
      </c>
      <c r="R397" t="s">
        <v>68</v>
      </c>
      <c r="S397" t="e">
        <f>IF(T397="","",INDEX('Backing 4'!U:U,MATCH(T397,'Backing 4'!T:T,0)))</f>
        <v>#N/A</v>
      </c>
      <c r="T397" t="str">
        <f t="shared" si="18"/>
        <v xml:space="preserve"> Junior Officer &amp; Sales &amp; Marketing</v>
      </c>
      <c r="U397" t="e">
        <f>IF(V397="","",INDEX('Backing 4'!Z:Z,MATCH(V397,'Backing 4'!Y:Y,0)))</f>
        <v>#N/A</v>
      </c>
      <c r="V397" t="str">
        <f t="shared" si="19"/>
        <v xml:space="preserve"> Junior Officer</v>
      </c>
      <c r="W397">
        <v>1</v>
      </c>
      <c r="X397" t="str">
        <f>IF(E397="Y","",IF(Y397="Y",INDEX('Backing 2'!B:B,MATCH(D397,'Backing 2'!C:C,0)),D397))</f>
        <v xml:space="preserve"> Junior Officer</v>
      </c>
      <c r="Y397" t="s">
        <v>81</v>
      </c>
      <c r="Z397">
        <v>0</v>
      </c>
      <c r="AA397" t="s">
        <v>69</v>
      </c>
      <c r="AB397">
        <v>28</v>
      </c>
      <c r="AC397" t="s">
        <v>31</v>
      </c>
      <c r="AD397" t="s">
        <v>74</v>
      </c>
      <c r="AE397" t="s">
        <v>74</v>
      </c>
      <c r="AF397" s="3">
        <v>43556</v>
      </c>
      <c r="AG397">
        <v>1</v>
      </c>
      <c r="AH397">
        <f t="shared" ca="1" si="20"/>
        <v>0.8610986986467114</v>
      </c>
    </row>
    <row r="398" spans="1:34">
      <c r="A398">
        <v>397</v>
      </c>
      <c r="B398" t="s">
        <v>8</v>
      </c>
      <c r="C398">
        <v>4</v>
      </c>
      <c r="D398" t="s">
        <v>135</v>
      </c>
      <c r="E398" t="s">
        <v>79</v>
      </c>
      <c r="F398">
        <v>0</v>
      </c>
      <c r="G398" t="s">
        <v>82</v>
      </c>
      <c r="H398" t="s">
        <v>82</v>
      </c>
      <c r="I398" s="2">
        <v>0.5</v>
      </c>
      <c r="J398" t="s">
        <v>82</v>
      </c>
      <c r="K398" t="s">
        <v>81</v>
      </c>
      <c r="L398" t="s">
        <v>16</v>
      </c>
      <c r="M398">
        <v>0</v>
      </c>
      <c r="N398">
        <v>4</v>
      </c>
      <c r="O398" t="s">
        <v>135</v>
      </c>
      <c r="P398" t="s">
        <v>16</v>
      </c>
      <c r="Q398" s="1" t="s">
        <v>68</v>
      </c>
      <c r="R398" t="s">
        <v>68</v>
      </c>
      <c r="S398" t="e">
        <f>IF(T398="","",INDEX('Backing 4'!U:U,MATCH(T398,'Backing 4'!T:T,0)))</f>
        <v>#N/A</v>
      </c>
      <c r="T398" t="str">
        <f t="shared" si="18"/>
        <v xml:space="preserve"> Manager &amp; Sales &amp; Marketing</v>
      </c>
      <c r="U398" t="e">
        <f>IF(V398="","",INDEX('Backing 4'!Z:Z,MATCH(V398,'Backing 4'!Y:Y,0)))</f>
        <v>#N/A</v>
      </c>
      <c r="V398" t="str">
        <f t="shared" si="19"/>
        <v xml:space="preserve"> Manager</v>
      </c>
      <c r="W398">
        <v>0</v>
      </c>
      <c r="X398" t="str">
        <f>IF(E398="Y","",IF(Y398="Y",INDEX('Backing 2'!B:B,MATCH(D398,'Backing 2'!C:C,0)),D398))</f>
        <v/>
      </c>
      <c r="Y398" t="s">
        <v>81</v>
      </c>
      <c r="Z398">
        <v>0</v>
      </c>
      <c r="AA398" t="s">
        <v>70</v>
      </c>
      <c r="AB398">
        <v>32</v>
      </c>
      <c r="AC398" t="s">
        <v>19</v>
      </c>
      <c r="AD398" t="s">
        <v>19</v>
      </c>
      <c r="AE398" t="s">
        <v>19</v>
      </c>
      <c r="AF398" s="3">
        <v>43922</v>
      </c>
      <c r="AG398">
        <v>0</v>
      </c>
      <c r="AH398">
        <f t="shared" ca="1" si="20"/>
        <v>0.58993490699574813</v>
      </c>
    </row>
    <row r="399" spans="1:34">
      <c r="A399">
        <v>398</v>
      </c>
      <c r="B399" t="s">
        <v>8</v>
      </c>
      <c r="C399">
        <v>4</v>
      </c>
      <c r="D399" t="s">
        <v>135</v>
      </c>
      <c r="E399" t="s">
        <v>81</v>
      </c>
      <c r="F399">
        <v>2</v>
      </c>
      <c r="G399" t="s">
        <v>82</v>
      </c>
      <c r="H399" t="s">
        <v>80</v>
      </c>
      <c r="I399" s="2">
        <v>0.5</v>
      </c>
      <c r="J399" t="s">
        <v>82</v>
      </c>
      <c r="K399" t="s">
        <v>79</v>
      </c>
      <c r="L399" t="s">
        <v>14</v>
      </c>
      <c r="M399">
        <v>0</v>
      </c>
      <c r="N399">
        <v>4</v>
      </c>
      <c r="O399" t="s">
        <v>135</v>
      </c>
      <c r="P399" t="s">
        <v>14</v>
      </c>
      <c r="Q399" s="1" t="s">
        <v>68</v>
      </c>
      <c r="R399" t="s">
        <v>68</v>
      </c>
      <c r="S399" t="e">
        <f>IF(T399="","",INDEX('Backing 4'!U:U,MATCH(T399,'Backing 4'!T:T,0)))</f>
        <v>#N/A</v>
      </c>
      <c r="T399" t="str">
        <f t="shared" si="18"/>
        <v xml:space="preserve"> Manager &amp; Operations</v>
      </c>
      <c r="U399" t="e">
        <f>IF(V399="","",INDEX('Backing 4'!Z:Z,MATCH(V399,'Backing 4'!Y:Y,0)))</f>
        <v>#N/A</v>
      </c>
      <c r="V399" t="str">
        <f t="shared" si="19"/>
        <v xml:space="preserve"> Manager</v>
      </c>
      <c r="W399">
        <v>1</v>
      </c>
      <c r="X399" t="e">
        <f>IF(E399="Y","",IF(Y399="Y",INDEX('Backing 2'!B:B,MATCH(D399,'Backing 2'!C:C,0)),D399))</f>
        <v>#N/A</v>
      </c>
      <c r="Y399" t="s">
        <v>79</v>
      </c>
      <c r="Z399">
        <v>2</v>
      </c>
      <c r="AA399" t="s">
        <v>70</v>
      </c>
      <c r="AB399">
        <v>34</v>
      </c>
      <c r="AC399" t="s">
        <v>31</v>
      </c>
      <c r="AD399" t="s">
        <v>74</v>
      </c>
      <c r="AE399" t="s">
        <v>74</v>
      </c>
      <c r="AF399" s="3">
        <v>40634</v>
      </c>
      <c r="AG399">
        <v>9</v>
      </c>
      <c r="AH399">
        <f t="shared" ca="1" si="20"/>
        <v>0.35016213590038858</v>
      </c>
    </row>
    <row r="400" spans="1:34">
      <c r="A400">
        <v>399</v>
      </c>
      <c r="B400" t="s">
        <v>8</v>
      </c>
      <c r="C400">
        <v>6</v>
      </c>
      <c r="D400" t="s">
        <v>134</v>
      </c>
      <c r="E400" t="s">
        <v>81</v>
      </c>
      <c r="F400">
        <v>2</v>
      </c>
      <c r="G400" t="s">
        <v>82</v>
      </c>
      <c r="H400" t="s">
        <v>80</v>
      </c>
      <c r="I400" s="2">
        <v>0.5</v>
      </c>
      <c r="J400" t="s">
        <v>82</v>
      </c>
      <c r="K400" t="s">
        <v>79</v>
      </c>
      <c r="L400" t="s">
        <v>16</v>
      </c>
      <c r="M400">
        <v>0</v>
      </c>
      <c r="N400">
        <v>6</v>
      </c>
      <c r="O400" t="s">
        <v>134</v>
      </c>
      <c r="P400" t="s">
        <v>16</v>
      </c>
      <c r="Q400" s="1" t="s">
        <v>68</v>
      </c>
      <c r="R400" t="s">
        <v>68</v>
      </c>
      <c r="S400" t="e">
        <f>IF(T400="","",INDEX('Backing 4'!U:U,MATCH(T400,'Backing 4'!T:T,0)))</f>
        <v>#N/A</v>
      </c>
      <c r="T400" t="str">
        <f t="shared" si="18"/>
        <v xml:space="preserve"> Junior Officer &amp; Sales &amp; Marketing</v>
      </c>
      <c r="U400" t="e">
        <f>IF(V400="","",INDEX('Backing 4'!Z:Z,MATCH(V400,'Backing 4'!Y:Y,0)))</f>
        <v>#N/A</v>
      </c>
      <c r="V400" t="str">
        <f t="shared" si="19"/>
        <v xml:space="preserve"> Junior Officer</v>
      </c>
      <c r="W400">
        <v>3</v>
      </c>
      <c r="X400" t="str">
        <f>IF(E400="Y","",IF(Y400="Y",INDEX('Backing 2'!B:B,MATCH(D400,'Backing 2'!C:C,0)),D400))</f>
        <v xml:space="preserve"> Junior Officer</v>
      </c>
      <c r="Y400" t="s">
        <v>81</v>
      </c>
      <c r="Z400">
        <v>2</v>
      </c>
      <c r="AA400" t="s">
        <v>69</v>
      </c>
      <c r="AB400">
        <v>21</v>
      </c>
      <c r="AC400" t="s">
        <v>30</v>
      </c>
      <c r="AD400" t="s">
        <v>74</v>
      </c>
      <c r="AE400" t="s">
        <v>74</v>
      </c>
      <c r="AF400" s="3">
        <v>42826</v>
      </c>
      <c r="AG400">
        <v>3</v>
      </c>
      <c r="AH400">
        <f t="shared" ca="1" si="20"/>
        <v>0.34830543624463273</v>
      </c>
    </row>
    <row r="401" spans="1:34">
      <c r="A401">
        <v>400</v>
      </c>
      <c r="B401" t="s">
        <v>7</v>
      </c>
      <c r="C401">
        <v>6</v>
      </c>
      <c r="D401" t="s">
        <v>134</v>
      </c>
      <c r="E401" t="s">
        <v>79</v>
      </c>
      <c r="F401">
        <v>0</v>
      </c>
      <c r="G401" t="s">
        <v>82</v>
      </c>
      <c r="H401" t="s">
        <v>82</v>
      </c>
      <c r="I401" s="2">
        <v>0.5</v>
      </c>
      <c r="J401" t="s">
        <v>82</v>
      </c>
      <c r="K401" t="s">
        <v>81</v>
      </c>
      <c r="L401" t="s">
        <v>14</v>
      </c>
      <c r="M401">
        <v>0</v>
      </c>
      <c r="N401">
        <v>6</v>
      </c>
      <c r="O401" t="s">
        <v>134</v>
      </c>
      <c r="P401" t="s">
        <v>14</v>
      </c>
      <c r="Q401" s="1" t="s">
        <v>68</v>
      </c>
      <c r="R401" t="s">
        <v>68</v>
      </c>
      <c r="S401" t="e">
        <f>IF(T401="","",INDEX('Backing 4'!U:U,MATCH(T401,'Backing 4'!T:T,0)))</f>
        <v>#N/A</v>
      </c>
      <c r="T401" t="str">
        <f t="shared" si="18"/>
        <v xml:space="preserve"> Junior Officer &amp; Operations</v>
      </c>
      <c r="U401" t="e">
        <f>IF(V401="","",INDEX('Backing 4'!Z:Z,MATCH(V401,'Backing 4'!Y:Y,0)))</f>
        <v>#N/A</v>
      </c>
      <c r="V401" t="str">
        <f t="shared" si="19"/>
        <v xml:space="preserve"> Junior Officer</v>
      </c>
      <c r="W401">
        <v>0</v>
      </c>
      <c r="X401" t="str">
        <f>IF(E401="Y","",IF(Y401="Y",INDEX('Backing 2'!B:B,MATCH(D401,'Backing 2'!C:C,0)),D401))</f>
        <v/>
      </c>
      <c r="Y401" t="s">
        <v>81</v>
      </c>
      <c r="Z401">
        <v>0</v>
      </c>
      <c r="AA401" t="s">
        <v>69</v>
      </c>
      <c r="AB401">
        <v>22</v>
      </c>
      <c r="AC401" t="s">
        <v>30</v>
      </c>
      <c r="AD401" t="s">
        <v>74</v>
      </c>
      <c r="AE401" t="s">
        <v>74</v>
      </c>
      <c r="AF401" s="3">
        <v>43922</v>
      </c>
      <c r="AG401">
        <v>0</v>
      </c>
      <c r="AH401">
        <f t="shared" ca="1" si="20"/>
        <v>0.97253840395045565</v>
      </c>
    </row>
    <row r="402" spans="1:34">
      <c r="A402">
        <v>401</v>
      </c>
      <c r="B402" t="s">
        <v>7</v>
      </c>
      <c r="C402">
        <v>6</v>
      </c>
      <c r="D402" t="s">
        <v>134</v>
      </c>
      <c r="E402" t="s">
        <v>81</v>
      </c>
      <c r="F402">
        <v>4</v>
      </c>
      <c r="G402" t="s">
        <v>82</v>
      </c>
      <c r="H402" t="s">
        <v>80</v>
      </c>
      <c r="I402" s="2">
        <v>0.5</v>
      </c>
      <c r="J402" t="s">
        <v>82</v>
      </c>
      <c r="K402" t="s">
        <v>79</v>
      </c>
      <c r="L402" t="s">
        <v>14</v>
      </c>
      <c r="M402">
        <v>0</v>
      </c>
      <c r="N402">
        <v>6</v>
      </c>
      <c r="O402" t="s">
        <v>134</v>
      </c>
      <c r="P402" t="s">
        <v>14</v>
      </c>
      <c r="Q402" s="1" t="s">
        <v>68</v>
      </c>
      <c r="R402" t="s">
        <v>68</v>
      </c>
      <c r="S402" t="e">
        <f>IF(T402="","",INDEX('Backing 4'!U:U,MATCH(T402,'Backing 4'!T:T,0)))</f>
        <v>#N/A</v>
      </c>
      <c r="T402" t="str">
        <f t="shared" si="18"/>
        <v xml:space="preserve"> Junior Officer &amp; Operations</v>
      </c>
      <c r="U402" t="e">
        <f>IF(V402="","",INDEX('Backing 4'!Z:Z,MATCH(V402,'Backing 4'!Y:Y,0)))</f>
        <v>#N/A</v>
      </c>
      <c r="V402" t="str">
        <f t="shared" si="19"/>
        <v xml:space="preserve"> Junior Officer</v>
      </c>
      <c r="W402">
        <v>2</v>
      </c>
      <c r="X402" t="str">
        <f>IF(E402="Y","",IF(Y402="Y",INDEX('Backing 2'!B:B,MATCH(D402,'Backing 2'!C:C,0)),D402))</f>
        <v xml:space="preserve"> Junior Officer</v>
      </c>
      <c r="Y402" t="s">
        <v>81</v>
      </c>
      <c r="Z402">
        <v>2</v>
      </c>
      <c r="AA402" t="s">
        <v>69</v>
      </c>
      <c r="AB402">
        <v>26</v>
      </c>
      <c r="AC402" t="s">
        <v>30</v>
      </c>
      <c r="AD402" t="s">
        <v>74</v>
      </c>
      <c r="AE402" t="s">
        <v>74</v>
      </c>
      <c r="AF402" s="3">
        <v>43191</v>
      </c>
      <c r="AG402">
        <v>2</v>
      </c>
      <c r="AH402">
        <f t="shared" ca="1" si="20"/>
        <v>0.78817202454941215</v>
      </c>
    </row>
    <row r="403" spans="1:34">
      <c r="A403">
        <v>402</v>
      </c>
      <c r="B403" t="s">
        <v>7</v>
      </c>
      <c r="C403">
        <v>5</v>
      </c>
      <c r="D403" t="s">
        <v>138</v>
      </c>
      <c r="E403" t="s">
        <v>79</v>
      </c>
      <c r="F403">
        <v>0</v>
      </c>
      <c r="G403" t="s">
        <v>82</v>
      </c>
      <c r="H403" t="s">
        <v>82</v>
      </c>
      <c r="I403" s="2">
        <v>0.5</v>
      </c>
      <c r="J403" t="s">
        <v>82</v>
      </c>
      <c r="K403" t="s">
        <v>81</v>
      </c>
      <c r="L403" t="s">
        <v>14</v>
      </c>
      <c r="M403">
        <v>0</v>
      </c>
      <c r="N403">
        <v>5</v>
      </c>
      <c r="O403" t="s">
        <v>138</v>
      </c>
      <c r="P403" t="s">
        <v>14</v>
      </c>
      <c r="Q403" s="1">
        <v>0.8</v>
      </c>
      <c r="R403" t="s">
        <v>67</v>
      </c>
      <c r="S403" t="e">
        <f>IF(T403="","",INDEX('Backing 4'!U:U,MATCH(T403,'Backing 4'!T:T,0)))</f>
        <v>#N/A</v>
      </c>
      <c r="T403" t="str">
        <f t="shared" si="18"/>
        <v xml:space="preserve"> Senior Officer &amp; Operations</v>
      </c>
      <c r="U403" t="e">
        <f>IF(V403="","",INDEX('Backing 4'!Z:Z,MATCH(V403,'Backing 4'!Y:Y,0)))</f>
        <v>#N/A</v>
      </c>
      <c r="V403" t="str">
        <f t="shared" si="19"/>
        <v xml:space="preserve"> Senior Officer</v>
      </c>
      <c r="W403">
        <v>0</v>
      </c>
      <c r="X403" t="str">
        <f>IF(E403="Y","",IF(Y403="Y",INDEX('Backing 2'!B:B,MATCH(D403,'Backing 2'!C:C,0)),D403))</f>
        <v/>
      </c>
      <c r="Y403" t="s">
        <v>81</v>
      </c>
      <c r="Z403">
        <v>0</v>
      </c>
      <c r="AA403" t="s">
        <v>70</v>
      </c>
      <c r="AB403">
        <v>33</v>
      </c>
      <c r="AC403" t="s">
        <v>19</v>
      </c>
      <c r="AD403" t="s">
        <v>19</v>
      </c>
      <c r="AE403" t="s">
        <v>19</v>
      </c>
      <c r="AF403" s="3">
        <v>43922</v>
      </c>
      <c r="AG403">
        <v>0</v>
      </c>
      <c r="AH403">
        <f t="shared" ca="1" si="20"/>
        <v>0.89252900622324916</v>
      </c>
    </row>
    <row r="404" spans="1:34">
      <c r="A404">
        <v>403</v>
      </c>
      <c r="B404" t="s">
        <v>8</v>
      </c>
      <c r="C404">
        <v>6</v>
      </c>
      <c r="D404" t="s">
        <v>134</v>
      </c>
      <c r="E404" t="s">
        <v>81</v>
      </c>
      <c r="F404">
        <v>2</v>
      </c>
      <c r="G404" t="s">
        <v>82</v>
      </c>
      <c r="H404" t="s">
        <v>80</v>
      </c>
      <c r="I404" s="2">
        <v>0.5</v>
      </c>
      <c r="J404" t="s">
        <v>82</v>
      </c>
      <c r="K404" t="s">
        <v>79</v>
      </c>
      <c r="L404" t="s">
        <v>16</v>
      </c>
      <c r="M404">
        <v>0</v>
      </c>
      <c r="N404">
        <v>6</v>
      </c>
      <c r="O404" t="s">
        <v>134</v>
      </c>
      <c r="P404" t="s">
        <v>16</v>
      </c>
      <c r="Q404" s="1" t="s">
        <v>68</v>
      </c>
      <c r="R404" t="s">
        <v>68</v>
      </c>
      <c r="S404" t="e">
        <f>IF(T404="","",INDEX('Backing 4'!U:U,MATCH(T404,'Backing 4'!T:T,0)))</f>
        <v>#N/A</v>
      </c>
      <c r="T404" t="str">
        <f t="shared" si="18"/>
        <v xml:space="preserve"> Junior Officer &amp; Sales &amp; Marketing</v>
      </c>
      <c r="U404" t="e">
        <f>IF(V404="","",INDEX('Backing 4'!Z:Z,MATCH(V404,'Backing 4'!Y:Y,0)))</f>
        <v>#N/A</v>
      </c>
      <c r="V404" t="str">
        <f t="shared" si="19"/>
        <v xml:space="preserve"> Junior Officer</v>
      </c>
      <c r="W404">
        <v>3</v>
      </c>
      <c r="X404" t="str">
        <f>IF(E404="Y","",IF(Y404="Y",INDEX('Backing 2'!B:B,MATCH(D404,'Backing 2'!C:C,0)),D404))</f>
        <v xml:space="preserve"> Junior Officer</v>
      </c>
      <c r="Y404" t="s">
        <v>81</v>
      </c>
      <c r="Z404">
        <v>3</v>
      </c>
      <c r="AA404" t="s">
        <v>69</v>
      </c>
      <c r="AB404">
        <v>23</v>
      </c>
      <c r="AC404" t="s">
        <v>31</v>
      </c>
      <c r="AD404" t="s">
        <v>74</v>
      </c>
      <c r="AE404" t="s">
        <v>74</v>
      </c>
      <c r="AF404" s="3">
        <v>42826</v>
      </c>
      <c r="AG404">
        <v>3</v>
      </c>
      <c r="AH404">
        <f t="shared" ca="1" si="20"/>
        <v>0.30389395932958752</v>
      </c>
    </row>
    <row r="405" spans="1:34">
      <c r="A405">
        <v>404</v>
      </c>
      <c r="B405" t="s">
        <v>8</v>
      </c>
      <c r="C405">
        <v>1</v>
      </c>
      <c r="D405" t="s">
        <v>139</v>
      </c>
      <c r="E405" t="s">
        <v>81</v>
      </c>
      <c r="F405">
        <v>0</v>
      </c>
      <c r="G405" t="s">
        <v>82</v>
      </c>
      <c r="H405" t="s">
        <v>82</v>
      </c>
      <c r="I405" s="2">
        <v>0.5</v>
      </c>
      <c r="J405" t="s">
        <v>82</v>
      </c>
      <c r="K405" t="s">
        <v>79</v>
      </c>
      <c r="L405" t="s">
        <v>17</v>
      </c>
      <c r="M405">
        <v>0</v>
      </c>
      <c r="N405">
        <v>1</v>
      </c>
      <c r="O405" t="s">
        <v>139</v>
      </c>
      <c r="P405" t="s">
        <v>17</v>
      </c>
      <c r="Q405" s="1" t="s">
        <v>68</v>
      </c>
      <c r="R405" t="s">
        <v>68</v>
      </c>
      <c r="S405" t="e">
        <f>IF(T405="","",INDEX('Backing 4'!U:U,MATCH(T405,'Backing 4'!T:T,0)))</f>
        <v>#N/A</v>
      </c>
      <c r="T405" t="str">
        <f t="shared" si="18"/>
        <v xml:space="preserve"> Executive &amp; Strategy</v>
      </c>
      <c r="U405" t="e">
        <f>IF(V405="","",INDEX('Backing 4'!Z:Z,MATCH(V405,'Backing 4'!Y:Y,0)))</f>
        <v>#N/A</v>
      </c>
      <c r="V405" t="str">
        <f t="shared" si="19"/>
        <v xml:space="preserve"> Executive</v>
      </c>
      <c r="W405">
        <v>2</v>
      </c>
      <c r="X405" t="str">
        <f>IF(E405="Y","",IF(Y405="Y",INDEX('Backing 2'!B:B,MATCH(D405,'Backing 2'!C:C,0)),D405))</f>
        <v xml:space="preserve"> Executive</v>
      </c>
      <c r="Y405" t="s">
        <v>81</v>
      </c>
      <c r="Z405">
        <v>2</v>
      </c>
      <c r="AA405" t="s">
        <v>72</v>
      </c>
      <c r="AB405">
        <v>50</v>
      </c>
      <c r="AC405" t="s">
        <v>31</v>
      </c>
      <c r="AD405" t="s">
        <v>74</v>
      </c>
      <c r="AE405" t="s">
        <v>74</v>
      </c>
      <c r="AF405" s="3">
        <v>42461</v>
      </c>
      <c r="AG405">
        <v>4</v>
      </c>
      <c r="AH405">
        <f t="shared" ca="1" si="20"/>
        <v>7.7669088099552752E-2</v>
      </c>
    </row>
    <row r="406" spans="1:34">
      <c r="A406">
        <v>405</v>
      </c>
      <c r="B406" t="s">
        <v>8</v>
      </c>
      <c r="C406">
        <v>1</v>
      </c>
      <c r="D406" t="s">
        <v>139</v>
      </c>
      <c r="E406" t="s">
        <v>81</v>
      </c>
      <c r="F406">
        <v>0</v>
      </c>
      <c r="G406" t="s">
        <v>82</v>
      </c>
      <c r="H406" t="s">
        <v>82</v>
      </c>
      <c r="I406" s="2">
        <v>0.5</v>
      </c>
      <c r="J406" t="s">
        <v>82</v>
      </c>
      <c r="K406" t="s">
        <v>79</v>
      </c>
      <c r="L406" t="s">
        <v>17</v>
      </c>
      <c r="M406">
        <v>0</v>
      </c>
      <c r="N406">
        <v>1</v>
      </c>
      <c r="O406" t="s">
        <v>139</v>
      </c>
      <c r="P406" t="s">
        <v>17</v>
      </c>
      <c r="Q406" s="1" t="s">
        <v>68</v>
      </c>
      <c r="R406" t="s">
        <v>68</v>
      </c>
      <c r="S406" t="e">
        <f>IF(T406="","",INDEX('Backing 4'!U:U,MATCH(T406,'Backing 4'!T:T,0)))</f>
        <v>#N/A</v>
      </c>
      <c r="T406" t="str">
        <f t="shared" si="18"/>
        <v xml:space="preserve"> Executive &amp; Strategy</v>
      </c>
      <c r="U406" t="e">
        <f>IF(V406="","",INDEX('Backing 4'!Z:Z,MATCH(V406,'Backing 4'!Y:Y,0)))</f>
        <v>#N/A</v>
      </c>
      <c r="V406" t="str">
        <f t="shared" si="19"/>
        <v xml:space="preserve"> Executive</v>
      </c>
      <c r="W406">
        <v>5</v>
      </c>
      <c r="X406" t="str">
        <f>IF(E406="Y","",IF(Y406="Y",INDEX('Backing 2'!B:B,MATCH(D406,'Backing 2'!C:C,0)),D406))</f>
        <v xml:space="preserve"> Executive</v>
      </c>
      <c r="Y406" t="s">
        <v>81</v>
      </c>
      <c r="Z406">
        <v>3</v>
      </c>
      <c r="AA406" t="s">
        <v>71</v>
      </c>
      <c r="AB406">
        <v>47</v>
      </c>
      <c r="AC406" t="s">
        <v>19</v>
      </c>
      <c r="AD406" t="s">
        <v>19</v>
      </c>
      <c r="AE406" t="s">
        <v>19</v>
      </c>
      <c r="AF406" s="3">
        <v>41000</v>
      </c>
      <c r="AG406">
        <v>8</v>
      </c>
      <c r="AH406">
        <f t="shared" ca="1" si="20"/>
        <v>2.1862504536703242E-2</v>
      </c>
    </row>
    <row r="407" spans="1:34">
      <c r="A407">
        <v>406</v>
      </c>
      <c r="B407" t="s">
        <v>8</v>
      </c>
      <c r="C407">
        <v>3</v>
      </c>
      <c r="D407" t="s">
        <v>137</v>
      </c>
      <c r="E407" t="s">
        <v>81</v>
      </c>
      <c r="F407">
        <v>2</v>
      </c>
      <c r="G407" t="s">
        <v>82</v>
      </c>
      <c r="H407" t="s">
        <v>80</v>
      </c>
      <c r="I407" s="2">
        <v>0.5</v>
      </c>
      <c r="J407" t="s">
        <v>82</v>
      </c>
      <c r="K407" t="s">
        <v>79</v>
      </c>
      <c r="L407" t="s">
        <v>14</v>
      </c>
      <c r="M407">
        <v>0</v>
      </c>
      <c r="N407">
        <v>3</v>
      </c>
      <c r="O407" t="s">
        <v>137</v>
      </c>
      <c r="P407" t="s">
        <v>14</v>
      </c>
      <c r="Q407" s="1" t="s">
        <v>68</v>
      </c>
      <c r="R407" t="s">
        <v>68</v>
      </c>
      <c r="S407" t="e">
        <f>IF(T407="","",INDEX('Backing 4'!U:U,MATCH(T407,'Backing 4'!T:T,0)))</f>
        <v>#N/A</v>
      </c>
      <c r="T407" t="str">
        <f t="shared" si="18"/>
        <v xml:space="preserve"> Senior Manager &amp; Operations</v>
      </c>
      <c r="U407" t="e">
        <f>IF(V407="","",INDEX('Backing 4'!Z:Z,MATCH(V407,'Backing 4'!Y:Y,0)))</f>
        <v>#N/A</v>
      </c>
      <c r="V407" t="str">
        <f t="shared" si="19"/>
        <v xml:space="preserve"> Senior Manager</v>
      </c>
      <c r="W407">
        <v>2</v>
      </c>
      <c r="X407" t="str">
        <f>IF(E407="Y","",IF(Y407="Y",INDEX('Backing 2'!B:B,MATCH(D407,'Backing 2'!C:C,0)),D407))</f>
        <v xml:space="preserve"> Senior Manager</v>
      </c>
      <c r="Y407" t="s">
        <v>81</v>
      </c>
      <c r="Z407">
        <v>2</v>
      </c>
      <c r="AA407" t="s">
        <v>70</v>
      </c>
      <c r="AB407">
        <v>36</v>
      </c>
      <c r="AC407" t="s">
        <v>31</v>
      </c>
      <c r="AD407" t="s">
        <v>74</v>
      </c>
      <c r="AE407" t="s">
        <v>74</v>
      </c>
      <c r="AF407" s="3">
        <v>42826</v>
      </c>
      <c r="AG407">
        <v>3</v>
      </c>
      <c r="AH407">
        <f t="shared" ca="1" si="20"/>
        <v>0.76007099653479893</v>
      </c>
    </row>
    <row r="408" spans="1:34">
      <c r="A408">
        <v>407</v>
      </c>
      <c r="B408" t="s">
        <v>8</v>
      </c>
      <c r="C408">
        <v>2</v>
      </c>
      <c r="D408" t="s">
        <v>136</v>
      </c>
      <c r="E408" t="s">
        <v>81</v>
      </c>
      <c r="F408">
        <v>2</v>
      </c>
      <c r="G408" t="s">
        <v>82</v>
      </c>
      <c r="H408" t="s">
        <v>80</v>
      </c>
      <c r="I408" s="2">
        <v>0.5</v>
      </c>
      <c r="J408" t="s">
        <v>82</v>
      </c>
      <c r="K408" t="s">
        <v>79</v>
      </c>
      <c r="L408" t="s">
        <v>15</v>
      </c>
      <c r="M408">
        <v>0</v>
      </c>
      <c r="N408">
        <v>2</v>
      </c>
      <c r="O408" t="s">
        <v>136</v>
      </c>
      <c r="P408" t="s">
        <v>15</v>
      </c>
      <c r="Q408" s="1" t="s">
        <v>68</v>
      </c>
      <c r="R408" t="s">
        <v>68</v>
      </c>
      <c r="S408" t="e">
        <f>IF(T408="","",INDEX('Backing 4'!U:U,MATCH(T408,'Backing 4'!T:T,0)))</f>
        <v>#N/A</v>
      </c>
      <c r="T408" t="str">
        <f t="shared" si="18"/>
        <v xml:space="preserve"> Director &amp; Internal Services</v>
      </c>
      <c r="U408" t="s">
        <v>120</v>
      </c>
      <c r="V408" t="str">
        <f t="shared" si="19"/>
        <v xml:space="preserve"> Director</v>
      </c>
      <c r="W408">
        <v>3</v>
      </c>
      <c r="X408" t="str">
        <f>IF(E408="Y","",IF(Y408="Y",INDEX('Backing 2'!B:B,MATCH(D408,'Backing 2'!C:C,0)),D408))</f>
        <v xml:space="preserve"> Director</v>
      </c>
      <c r="Y408" t="s">
        <v>81</v>
      </c>
      <c r="Z408">
        <v>2</v>
      </c>
      <c r="AA408" t="s">
        <v>73</v>
      </c>
      <c r="AB408">
        <v>61</v>
      </c>
      <c r="AC408" t="s">
        <v>19</v>
      </c>
      <c r="AD408" t="s">
        <v>19</v>
      </c>
      <c r="AE408" t="s">
        <v>19</v>
      </c>
      <c r="AF408" s="3">
        <v>42095</v>
      </c>
      <c r="AG408">
        <v>5</v>
      </c>
      <c r="AH408">
        <f t="shared" ca="1" si="20"/>
        <v>0.29821981690266142</v>
      </c>
    </row>
    <row r="409" spans="1:34">
      <c r="A409">
        <v>408</v>
      </c>
      <c r="B409" t="s">
        <v>8</v>
      </c>
      <c r="C409">
        <v>5</v>
      </c>
      <c r="D409" t="s">
        <v>138</v>
      </c>
      <c r="E409" t="s">
        <v>81</v>
      </c>
      <c r="F409">
        <v>2</v>
      </c>
      <c r="G409" t="s">
        <v>82</v>
      </c>
      <c r="H409" t="s">
        <v>80</v>
      </c>
      <c r="I409" s="2">
        <v>0.5</v>
      </c>
      <c r="J409" t="s">
        <v>82</v>
      </c>
      <c r="K409" t="s">
        <v>79</v>
      </c>
      <c r="L409" t="s">
        <v>16</v>
      </c>
      <c r="M409">
        <v>0</v>
      </c>
      <c r="N409">
        <v>5</v>
      </c>
      <c r="O409" t="s">
        <v>138</v>
      </c>
      <c r="P409" t="s">
        <v>16</v>
      </c>
      <c r="Q409" s="1" t="s">
        <v>68</v>
      </c>
      <c r="R409" t="s">
        <v>68</v>
      </c>
      <c r="S409" t="e">
        <f>IF(T409="","",INDEX('Backing 4'!U:U,MATCH(T409,'Backing 4'!T:T,0)))</f>
        <v>#N/A</v>
      </c>
      <c r="T409" t="str">
        <f t="shared" si="18"/>
        <v xml:space="preserve"> Senior Officer &amp; Sales &amp; Marketing</v>
      </c>
      <c r="U409" t="e">
        <f>IF(V409="","",INDEX('Backing 4'!Z:Z,MATCH(V409,'Backing 4'!Y:Y,0)))</f>
        <v>#N/A</v>
      </c>
      <c r="V409" t="str">
        <f t="shared" si="19"/>
        <v xml:space="preserve"> Senior Officer</v>
      </c>
      <c r="W409">
        <v>5</v>
      </c>
      <c r="X409" t="str">
        <f>IF(E409="Y","",IF(Y409="Y",INDEX('Backing 2'!B:B,MATCH(D409,'Backing 2'!C:C,0)),D409))</f>
        <v xml:space="preserve"> Senior Officer</v>
      </c>
      <c r="Y409" t="s">
        <v>81</v>
      </c>
      <c r="Z409">
        <v>0</v>
      </c>
      <c r="AA409" t="s">
        <v>69</v>
      </c>
      <c r="AB409">
        <v>26</v>
      </c>
      <c r="AC409" t="s">
        <v>19</v>
      </c>
      <c r="AD409" t="s">
        <v>19</v>
      </c>
      <c r="AE409" t="s">
        <v>19</v>
      </c>
      <c r="AF409" s="3">
        <v>42095</v>
      </c>
      <c r="AG409">
        <v>5</v>
      </c>
      <c r="AH409">
        <f t="shared" ca="1" si="20"/>
        <v>0.47976532466068234</v>
      </c>
    </row>
    <row r="410" spans="1:34">
      <c r="A410">
        <v>409</v>
      </c>
      <c r="B410" t="s">
        <v>7</v>
      </c>
      <c r="C410">
        <v>6</v>
      </c>
      <c r="D410" t="s">
        <v>134</v>
      </c>
      <c r="E410" t="s">
        <v>81</v>
      </c>
      <c r="F410">
        <v>2</v>
      </c>
      <c r="G410" t="s">
        <v>82</v>
      </c>
      <c r="H410" t="s">
        <v>80</v>
      </c>
      <c r="I410" s="2">
        <v>0.5</v>
      </c>
      <c r="J410" t="s">
        <v>82</v>
      </c>
      <c r="K410" t="s">
        <v>79</v>
      </c>
      <c r="L410" t="s">
        <v>16</v>
      </c>
      <c r="M410">
        <v>0</v>
      </c>
      <c r="N410">
        <v>6</v>
      </c>
      <c r="O410" t="s">
        <v>134</v>
      </c>
      <c r="P410" t="s">
        <v>16</v>
      </c>
      <c r="Q410" s="1" t="s">
        <v>68</v>
      </c>
      <c r="R410" t="s">
        <v>68</v>
      </c>
      <c r="S410" t="e">
        <f>IF(T410="","",INDEX('Backing 4'!U:U,MATCH(T410,'Backing 4'!T:T,0)))</f>
        <v>#N/A</v>
      </c>
      <c r="T410" t="str">
        <f t="shared" si="18"/>
        <v xml:space="preserve"> Junior Officer &amp; Sales &amp; Marketing</v>
      </c>
      <c r="U410" t="e">
        <f>IF(V410="","",INDEX('Backing 4'!Z:Z,MATCH(V410,'Backing 4'!Y:Y,0)))</f>
        <v>#N/A</v>
      </c>
      <c r="V410" t="str">
        <f t="shared" si="19"/>
        <v xml:space="preserve"> Junior Officer</v>
      </c>
      <c r="W410">
        <v>5</v>
      </c>
      <c r="X410" t="str">
        <f>IF(E410="Y","",IF(Y410="Y",INDEX('Backing 2'!B:B,MATCH(D410,'Backing 2'!C:C,0)),D410))</f>
        <v xml:space="preserve"> Junior Officer</v>
      </c>
      <c r="Y410" t="s">
        <v>81</v>
      </c>
      <c r="Z410">
        <v>2</v>
      </c>
      <c r="AA410" t="s">
        <v>69</v>
      </c>
      <c r="AB410">
        <v>24</v>
      </c>
      <c r="AC410" t="s">
        <v>19</v>
      </c>
      <c r="AD410" t="s">
        <v>19</v>
      </c>
      <c r="AE410" t="s">
        <v>19</v>
      </c>
      <c r="AF410" s="3">
        <v>42095</v>
      </c>
      <c r="AG410">
        <v>5</v>
      </c>
      <c r="AH410">
        <f t="shared" ca="1" si="20"/>
        <v>0.38460818398475127</v>
      </c>
    </row>
    <row r="411" spans="1:34">
      <c r="A411">
        <v>410</v>
      </c>
      <c r="B411" t="s">
        <v>8</v>
      </c>
      <c r="C411">
        <v>5</v>
      </c>
      <c r="D411" t="s">
        <v>138</v>
      </c>
      <c r="E411" t="s">
        <v>79</v>
      </c>
      <c r="F411">
        <v>0</v>
      </c>
      <c r="G411" t="s">
        <v>82</v>
      </c>
      <c r="H411" t="s">
        <v>82</v>
      </c>
      <c r="I411" s="2">
        <v>0.5</v>
      </c>
      <c r="J411" t="s">
        <v>82</v>
      </c>
      <c r="K411" t="s">
        <v>81</v>
      </c>
      <c r="L411" t="s">
        <v>16</v>
      </c>
      <c r="M411">
        <v>0</v>
      </c>
      <c r="N411">
        <v>5</v>
      </c>
      <c r="O411" t="s">
        <v>138</v>
      </c>
      <c r="P411" t="s">
        <v>16</v>
      </c>
      <c r="Q411" s="1" t="s">
        <v>68</v>
      </c>
      <c r="R411" t="s">
        <v>68</v>
      </c>
      <c r="S411" t="e">
        <f>IF(T411="","",INDEX('Backing 4'!U:U,MATCH(T411,'Backing 4'!T:T,0)))</f>
        <v>#N/A</v>
      </c>
      <c r="T411" t="str">
        <f t="shared" si="18"/>
        <v xml:space="preserve"> Senior Officer &amp; Sales &amp; Marketing</v>
      </c>
      <c r="U411" t="e">
        <f>IF(V411="","",INDEX('Backing 4'!Z:Z,MATCH(V411,'Backing 4'!Y:Y,0)))</f>
        <v>#N/A</v>
      </c>
      <c r="V411" t="str">
        <f t="shared" si="19"/>
        <v xml:space="preserve"> Senior Officer</v>
      </c>
      <c r="W411">
        <v>0</v>
      </c>
      <c r="X411" t="str">
        <f>IF(E411="Y","",IF(Y411="Y",INDEX('Backing 2'!B:B,MATCH(D411,'Backing 2'!C:C,0)),D411))</f>
        <v/>
      </c>
      <c r="Y411" t="s">
        <v>81</v>
      </c>
      <c r="Z411">
        <v>0</v>
      </c>
      <c r="AA411" t="s">
        <v>69</v>
      </c>
      <c r="AB411">
        <v>27</v>
      </c>
      <c r="AC411" t="s">
        <v>19</v>
      </c>
      <c r="AD411" t="s">
        <v>19</v>
      </c>
      <c r="AE411" t="s">
        <v>19</v>
      </c>
      <c r="AF411" s="3">
        <v>43922</v>
      </c>
      <c r="AG411">
        <v>0</v>
      </c>
      <c r="AH411">
        <f t="shared" ca="1" si="20"/>
        <v>0.15645169747633025</v>
      </c>
    </row>
    <row r="412" spans="1:34">
      <c r="A412">
        <v>411</v>
      </c>
      <c r="B412" t="s">
        <v>7</v>
      </c>
      <c r="C412">
        <v>4</v>
      </c>
      <c r="D412" t="s">
        <v>135</v>
      </c>
      <c r="E412" t="s">
        <v>79</v>
      </c>
      <c r="F412">
        <v>0</v>
      </c>
      <c r="G412" t="s">
        <v>82</v>
      </c>
      <c r="H412" t="s">
        <v>82</v>
      </c>
      <c r="I412" s="2">
        <v>0.5</v>
      </c>
      <c r="J412" t="s">
        <v>82</v>
      </c>
      <c r="K412" t="s">
        <v>81</v>
      </c>
      <c r="L412" t="s">
        <v>14</v>
      </c>
      <c r="M412">
        <v>0</v>
      </c>
      <c r="N412">
        <v>4</v>
      </c>
      <c r="O412" t="s">
        <v>135</v>
      </c>
      <c r="P412" t="s">
        <v>14</v>
      </c>
      <c r="Q412" s="1" t="s">
        <v>68</v>
      </c>
      <c r="R412" t="s">
        <v>68</v>
      </c>
      <c r="S412" t="e">
        <f>IF(T412="","",INDEX('Backing 4'!U:U,MATCH(T412,'Backing 4'!T:T,0)))</f>
        <v>#N/A</v>
      </c>
      <c r="T412" t="str">
        <f t="shared" si="18"/>
        <v xml:space="preserve"> Manager &amp; Operations</v>
      </c>
      <c r="U412" t="e">
        <f>IF(V412="","",INDEX('Backing 4'!Z:Z,MATCH(V412,'Backing 4'!Y:Y,0)))</f>
        <v>#N/A</v>
      </c>
      <c r="V412" t="str">
        <f t="shared" si="19"/>
        <v xml:space="preserve"> Manager</v>
      </c>
      <c r="W412">
        <v>0</v>
      </c>
      <c r="X412" t="str">
        <f>IF(E412="Y","",IF(Y412="Y",INDEX('Backing 2'!B:B,MATCH(D412,'Backing 2'!C:C,0)),D412))</f>
        <v/>
      </c>
      <c r="Y412" t="s">
        <v>81</v>
      </c>
      <c r="Z412">
        <v>0</v>
      </c>
      <c r="AA412" t="s">
        <v>71</v>
      </c>
      <c r="AB412">
        <v>40</v>
      </c>
      <c r="AC412" t="s">
        <v>30</v>
      </c>
      <c r="AD412" t="s">
        <v>74</v>
      </c>
      <c r="AE412" t="s">
        <v>74</v>
      </c>
      <c r="AF412" s="3">
        <v>43922</v>
      </c>
      <c r="AG412">
        <v>0</v>
      </c>
      <c r="AH412">
        <f t="shared" ca="1" si="20"/>
        <v>9.7251984128011837E-2</v>
      </c>
    </row>
    <row r="413" spans="1:34">
      <c r="A413">
        <v>412</v>
      </c>
      <c r="B413" t="s">
        <v>7</v>
      </c>
      <c r="C413">
        <v>5</v>
      </c>
      <c r="D413" t="s">
        <v>138</v>
      </c>
      <c r="E413" t="s">
        <v>81</v>
      </c>
      <c r="F413">
        <v>2</v>
      </c>
      <c r="G413" t="s">
        <v>82</v>
      </c>
      <c r="H413" t="s">
        <v>80</v>
      </c>
      <c r="I413" s="2">
        <v>0.5</v>
      </c>
      <c r="J413" t="s">
        <v>82</v>
      </c>
      <c r="K413" t="s">
        <v>79</v>
      </c>
      <c r="L413" t="s">
        <v>14</v>
      </c>
      <c r="M413">
        <v>0</v>
      </c>
      <c r="N413">
        <v>5</v>
      </c>
      <c r="O413" t="s">
        <v>138</v>
      </c>
      <c r="P413" t="s">
        <v>14</v>
      </c>
      <c r="Q413" s="1" t="s">
        <v>68</v>
      </c>
      <c r="R413" t="s">
        <v>68</v>
      </c>
      <c r="S413" t="e">
        <f>IF(T413="","",INDEX('Backing 4'!U:U,MATCH(T413,'Backing 4'!T:T,0)))</f>
        <v>#N/A</v>
      </c>
      <c r="T413" t="str">
        <f t="shared" si="18"/>
        <v xml:space="preserve"> Senior Officer &amp; Operations</v>
      </c>
      <c r="U413" t="e">
        <f>IF(V413="","",INDEX('Backing 4'!Z:Z,MATCH(V413,'Backing 4'!Y:Y,0)))</f>
        <v>#N/A</v>
      </c>
      <c r="V413" t="str">
        <f t="shared" si="19"/>
        <v xml:space="preserve"> Senior Officer</v>
      </c>
      <c r="W413">
        <v>2</v>
      </c>
      <c r="X413" t="str">
        <f>IF(E413="Y","",IF(Y413="Y",INDEX('Backing 2'!B:B,MATCH(D413,'Backing 2'!C:C,0)),D413))</f>
        <v xml:space="preserve"> Senior Officer</v>
      </c>
      <c r="Y413" t="s">
        <v>81</v>
      </c>
      <c r="Z413">
        <v>3</v>
      </c>
      <c r="AA413" t="s">
        <v>70</v>
      </c>
      <c r="AB413">
        <v>31</v>
      </c>
      <c r="AC413" t="s">
        <v>31</v>
      </c>
      <c r="AD413" t="s">
        <v>74</v>
      </c>
      <c r="AE413" t="s">
        <v>74</v>
      </c>
      <c r="AF413" s="3">
        <v>41365</v>
      </c>
      <c r="AG413">
        <v>7</v>
      </c>
      <c r="AH413">
        <f t="shared" ca="1" si="20"/>
        <v>6.6209909394078004E-2</v>
      </c>
    </row>
    <row r="414" spans="1:34">
      <c r="A414">
        <v>413</v>
      </c>
      <c r="B414" t="s">
        <v>8</v>
      </c>
      <c r="C414">
        <v>2</v>
      </c>
      <c r="D414" t="s">
        <v>136</v>
      </c>
      <c r="E414" t="s">
        <v>81</v>
      </c>
      <c r="F414">
        <v>3</v>
      </c>
      <c r="G414" t="s">
        <v>82</v>
      </c>
      <c r="H414" t="s">
        <v>80</v>
      </c>
      <c r="I414" s="2">
        <v>0.5</v>
      </c>
      <c r="J414" t="s">
        <v>82</v>
      </c>
      <c r="K414" t="s">
        <v>79</v>
      </c>
      <c r="L414" t="s">
        <v>15</v>
      </c>
      <c r="M414">
        <v>0</v>
      </c>
      <c r="N414">
        <v>2</v>
      </c>
      <c r="O414" t="s">
        <v>136</v>
      </c>
      <c r="P414" t="s">
        <v>15</v>
      </c>
      <c r="Q414" s="1" t="s">
        <v>68</v>
      </c>
      <c r="R414" t="s">
        <v>68</v>
      </c>
      <c r="S414" t="e">
        <f>IF(T414="","",INDEX('Backing 4'!U:U,MATCH(T414,'Backing 4'!T:T,0)))</f>
        <v>#N/A</v>
      </c>
      <c r="T414" t="str">
        <f t="shared" si="18"/>
        <v xml:space="preserve"> Director &amp; Internal Services</v>
      </c>
      <c r="U414" t="s">
        <v>120</v>
      </c>
      <c r="V414" t="str">
        <f t="shared" si="19"/>
        <v xml:space="preserve"> Director</v>
      </c>
      <c r="W414">
        <v>5</v>
      </c>
      <c r="X414" t="str">
        <f>IF(E414="Y","",IF(Y414="Y",INDEX('Backing 2'!B:B,MATCH(D414,'Backing 2'!C:C,0)),D414))</f>
        <v xml:space="preserve"> Director</v>
      </c>
      <c r="Y414" t="s">
        <v>81</v>
      </c>
      <c r="Z414">
        <v>3</v>
      </c>
      <c r="AA414" t="s">
        <v>71</v>
      </c>
      <c r="AB414">
        <v>46</v>
      </c>
      <c r="AC414" t="s">
        <v>19</v>
      </c>
      <c r="AD414" t="s">
        <v>19</v>
      </c>
      <c r="AE414" t="s">
        <v>19</v>
      </c>
      <c r="AF414" s="3">
        <v>41365</v>
      </c>
      <c r="AG414">
        <v>7</v>
      </c>
      <c r="AH414">
        <f t="shared" ca="1" si="20"/>
        <v>0.34930455432393004</v>
      </c>
    </row>
    <row r="415" spans="1:34">
      <c r="A415">
        <v>414</v>
      </c>
      <c r="B415" t="s">
        <v>7</v>
      </c>
      <c r="C415">
        <v>5</v>
      </c>
      <c r="D415" t="s">
        <v>138</v>
      </c>
      <c r="E415" t="s">
        <v>81</v>
      </c>
      <c r="F415">
        <v>3</v>
      </c>
      <c r="G415" t="s">
        <v>82</v>
      </c>
      <c r="H415" t="s">
        <v>80</v>
      </c>
      <c r="I415" s="2">
        <v>0.5</v>
      </c>
      <c r="J415" t="s">
        <v>82</v>
      </c>
      <c r="K415" t="s">
        <v>79</v>
      </c>
      <c r="L415" t="s">
        <v>14</v>
      </c>
      <c r="M415">
        <v>0</v>
      </c>
      <c r="N415">
        <v>5</v>
      </c>
      <c r="O415" t="s">
        <v>138</v>
      </c>
      <c r="P415" t="s">
        <v>14</v>
      </c>
      <c r="Q415" s="1">
        <v>0.8</v>
      </c>
      <c r="R415" t="s">
        <v>67</v>
      </c>
      <c r="S415" t="e">
        <f>IF(T415="","",INDEX('Backing 4'!U:U,MATCH(T415,'Backing 4'!T:T,0)))</f>
        <v>#N/A</v>
      </c>
      <c r="T415" t="str">
        <f t="shared" si="18"/>
        <v xml:space="preserve"> Senior Officer &amp; Operations</v>
      </c>
      <c r="U415" t="e">
        <f>IF(V415="","",INDEX('Backing 4'!Z:Z,MATCH(V415,'Backing 4'!Y:Y,0)))</f>
        <v>#N/A</v>
      </c>
      <c r="V415" t="str">
        <f t="shared" si="19"/>
        <v xml:space="preserve"> Senior Officer</v>
      </c>
      <c r="W415">
        <v>1</v>
      </c>
      <c r="X415" t="e">
        <f>IF(E415="Y","",IF(Y415="Y",INDEX('Backing 2'!B:B,MATCH(D415,'Backing 2'!C:C,0)),D415))</f>
        <v>#N/A</v>
      </c>
      <c r="Y415" t="s">
        <v>79</v>
      </c>
      <c r="Z415">
        <v>1</v>
      </c>
      <c r="AA415" t="s">
        <v>70</v>
      </c>
      <c r="AB415">
        <v>31</v>
      </c>
      <c r="AC415" t="s">
        <v>30</v>
      </c>
      <c r="AD415" t="s">
        <v>74</v>
      </c>
      <c r="AE415" t="s">
        <v>74</v>
      </c>
      <c r="AF415" s="3">
        <v>42095</v>
      </c>
      <c r="AG415">
        <v>5</v>
      </c>
      <c r="AH415">
        <f t="shared" ca="1" si="20"/>
        <v>0.82980672046908166</v>
      </c>
    </row>
    <row r="416" spans="1:34">
      <c r="A416">
        <v>415</v>
      </c>
      <c r="B416" t="s">
        <v>8</v>
      </c>
      <c r="C416">
        <v>6</v>
      </c>
      <c r="D416" t="s">
        <v>134</v>
      </c>
      <c r="E416" t="s">
        <v>81</v>
      </c>
      <c r="F416">
        <v>2</v>
      </c>
      <c r="G416" t="s">
        <v>82</v>
      </c>
      <c r="H416" t="s">
        <v>80</v>
      </c>
      <c r="I416" s="2">
        <v>0.5</v>
      </c>
      <c r="J416" t="s">
        <v>82</v>
      </c>
      <c r="K416" t="s">
        <v>79</v>
      </c>
      <c r="L416" t="s">
        <v>16</v>
      </c>
      <c r="M416">
        <v>0</v>
      </c>
      <c r="N416">
        <v>6</v>
      </c>
      <c r="O416" t="s">
        <v>134</v>
      </c>
      <c r="P416" t="s">
        <v>16</v>
      </c>
      <c r="Q416" s="1" t="s">
        <v>68</v>
      </c>
      <c r="R416" t="s">
        <v>68</v>
      </c>
      <c r="S416" t="e">
        <f>IF(T416="","",INDEX('Backing 4'!U:U,MATCH(T416,'Backing 4'!T:T,0)))</f>
        <v>#N/A</v>
      </c>
      <c r="T416" t="str">
        <f t="shared" si="18"/>
        <v xml:space="preserve"> Junior Officer &amp; Sales &amp; Marketing</v>
      </c>
      <c r="U416" t="e">
        <f>IF(V416="","",INDEX('Backing 4'!Z:Z,MATCH(V416,'Backing 4'!Y:Y,0)))</f>
        <v>#N/A</v>
      </c>
      <c r="V416" t="str">
        <f t="shared" si="19"/>
        <v xml:space="preserve"> Junior Officer</v>
      </c>
      <c r="W416">
        <v>1</v>
      </c>
      <c r="X416" t="str">
        <f>IF(E416="Y","",IF(Y416="Y",INDEX('Backing 2'!B:B,MATCH(D416,'Backing 2'!C:C,0)),D416))</f>
        <v xml:space="preserve"> Junior Officer</v>
      </c>
      <c r="Y416" t="s">
        <v>81</v>
      </c>
      <c r="Z416">
        <v>0</v>
      </c>
      <c r="AA416" t="s">
        <v>69</v>
      </c>
      <c r="AB416">
        <v>24</v>
      </c>
      <c r="AC416" t="s">
        <v>26</v>
      </c>
      <c r="AD416" t="s">
        <v>74</v>
      </c>
      <c r="AE416" t="s">
        <v>74</v>
      </c>
      <c r="AF416" s="3">
        <v>43556</v>
      </c>
      <c r="AG416">
        <v>1</v>
      </c>
      <c r="AH416">
        <f t="shared" ca="1" si="20"/>
        <v>8.7595519840462432E-2</v>
      </c>
    </row>
    <row r="417" spans="1:34">
      <c r="A417">
        <v>416</v>
      </c>
      <c r="B417" t="s">
        <v>8</v>
      </c>
      <c r="C417">
        <v>3</v>
      </c>
      <c r="D417" t="s">
        <v>137</v>
      </c>
      <c r="E417" t="s">
        <v>81</v>
      </c>
      <c r="F417">
        <v>2</v>
      </c>
      <c r="G417" t="s">
        <v>82</v>
      </c>
      <c r="H417" t="s">
        <v>80</v>
      </c>
      <c r="I417" s="2">
        <v>0.5</v>
      </c>
      <c r="J417" t="s">
        <v>82</v>
      </c>
      <c r="K417" t="s">
        <v>79</v>
      </c>
      <c r="L417" t="s">
        <v>17</v>
      </c>
      <c r="M417">
        <v>0</v>
      </c>
      <c r="N417">
        <v>3</v>
      </c>
      <c r="O417" t="s">
        <v>137</v>
      </c>
      <c r="P417" t="s">
        <v>17</v>
      </c>
      <c r="Q417" s="1" t="s">
        <v>68</v>
      </c>
      <c r="R417" t="s">
        <v>68</v>
      </c>
      <c r="S417" t="e">
        <f>IF(T417="","",INDEX('Backing 4'!U:U,MATCH(T417,'Backing 4'!T:T,0)))</f>
        <v>#N/A</v>
      </c>
      <c r="T417" t="str">
        <f t="shared" si="18"/>
        <v xml:space="preserve"> Senior Manager &amp; Strategy</v>
      </c>
      <c r="U417" t="e">
        <f>IF(V417="","",INDEX('Backing 4'!Z:Z,MATCH(V417,'Backing 4'!Y:Y,0)))</f>
        <v>#N/A</v>
      </c>
      <c r="V417" t="str">
        <f t="shared" si="19"/>
        <v xml:space="preserve"> Senior Manager</v>
      </c>
      <c r="W417">
        <v>2</v>
      </c>
      <c r="X417" t="str">
        <f>IF(E417="Y","",IF(Y417="Y",INDEX('Backing 2'!B:B,MATCH(D417,'Backing 2'!C:C,0)),D417))</f>
        <v xml:space="preserve"> Senior Manager</v>
      </c>
      <c r="Y417" t="s">
        <v>81</v>
      </c>
      <c r="Z417">
        <v>2</v>
      </c>
      <c r="AA417" t="s">
        <v>70</v>
      </c>
      <c r="AB417">
        <v>39</v>
      </c>
      <c r="AC417" t="s">
        <v>19</v>
      </c>
      <c r="AD417" t="s">
        <v>19</v>
      </c>
      <c r="AE417" t="s">
        <v>19</v>
      </c>
      <c r="AF417" s="3">
        <v>41000</v>
      </c>
      <c r="AG417">
        <v>8</v>
      </c>
      <c r="AH417">
        <f t="shared" ca="1" si="20"/>
        <v>0.46042113623302205</v>
      </c>
    </row>
    <row r="418" spans="1:34">
      <c r="A418">
        <v>417</v>
      </c>
      <c r="B418" t="s">
        <v>8</v>
      </c>
      <c r="C418">
        <v>3</v>
      </c>
      <c r="D418" t="s">
        <v>137</v>
      </c>
      <c r="E418" t="s">
        <v>81</v>
      </c>
      <c r="F418">
        <v>2</v>
      </c>
      <c r="G418" t="s">
        <v>82</v>
      </c>
      <c r="H418" t="s">
        <v>80</v>
      </c>
      <c r="I418" s="2">
        <v>0.5</v>
      </c>
      <c r="J418" t="s">
        <v>82</v>
      </c>
      <c r="K418" t="s">
        <v>79</v>
      </c>
      <c r="L418" t="s">
        <v>14</v>
      </c>
      <c r="M418">
        <v>0</v>
      </c>
      <c r="N418">
        <v>3</v>
      </c>
      <c r="O418" t="s">
        <v>137</v>
      </c>
      <c r="P418" t="s">
        <v>14</v>
      </c>
      <c r="Q418" s="1" t="s">
        <v>68</v>
      </c>
      <c r="R418" t="s">
        <v>68</v>
      </c>
      <c r="S418" t="e">
        <f>IF(T418="","",INDEX('Backing 4'!U:U,MATCH(T418,'Backing 4'!T:T,0)))</f>
        <v>#N/A</v>
      </c>
      <c r="T418" t="str">
        <f t="shared" si="18"/>
        <v xml:space="preserve"> Senior Manager &amp; Operations</v>
      </c>
      <c r="U418" t="e">
        <f>IF(V418="","",INDEX('Backing 4'!Z:Z,MATCH(V418,'Backing 4'!Y:Y,0)))</f>
        <v>#N/A</v>
      </c>
      <c r="V418" t="str">
        <f t="shared" si="19"/>
        <v xml:space="preserve"> Senior Manager</v>
      </c>
      <c r="W418">
        <v>2</v>
      </c>
      <c r="X418" t="str">
        <f>IF(E418="Y","",IF(Y418="Y",INDEX('Backing 2'!B:B,MATCH(D418,'Backing 2'!C:C,0)),D418))</f>
        <v xml:space="preserve"> Senior Manager</v>
      </c>
      <c r="Y418" t="s">
        <v>81</v>
      </c>
      <c r="Z418">
        <v>2</v>
      </c>
      <c r="AA418" t="s">
        <v>70</v>
      </c>
      <c r="AB418">
        <v>36</v>
      </c>
      <c r="AC418" t="s">
        <v>19</v>
      </c>
      <c r="AD418" t="s">
        <v>19</v>
      </c>
      <c r="AE418" t="s">
        <v>19</v>
      </c>
      <c r="AF418" s="3">
        <v>43191</v>
      </c>
      <c r="AG418">
        <v>2</v>
      </c>
      <c r="AH418">
        <f t="shared" ca="1" si="20"/>
        <v>0.66251884240793191</v>
      </c>
    </row>
    <row r="419" spans="1:34">
      <c r="A419">
        <v>418</v>
      </c>
      <c r="B419" t="s">
        <v>7</v>
      </c>
      <c r="C419">
        <v>6</v>
      </c>
      <c r="D419" t="s">
        <v>134</v>
      </c>
      <c r="E419" t="s">
        <v>81</v>
      </c>
      <c r="F419">
        <v>2</v>
      </c>
      <c r="G419" t="s">
        <v>80</v>
      </c>
      <c r="H419" t="s">
        <v>80</v>
      </c>
      <c r="I419" s="2">
        <v>0.5</v>
      </c>
      <c r="J419" t="s">
        <v>82</v>
      </c>
      <c r="K419" t="s">
        <v>79</v>
      </c>
      <c r="L419" t="s">
        <v>16</v>
      </c>
      <c r="M419">
        <v>0</v>
      </c>
      <c r="N419">
        <v>5</v>
      </c>
      <c r="O419" t="s">
        <v>138</v>
      </c>
      <c r="P419" t="s">
        <v>16</v>
      </c>
      <c r="Q419" s="1">
        <v>0.7</v>
      </c>
      <c r="R419" t="s">
        <v>67</v>
      </c>
      <c r="S419" t="e">
        <f>IF(T419="","",INDEX('Backing 4'!U:U,MATCH(T419,'Backing 4'!T:T,0)))</f>
        <v>#N/A</v>
      </c>
      <c r="T419" t="str">
        <f t="shared" si="18"/>
        <v xml:space="preserve"> Junior Officer &amp; Sales &amp; Marketing</v>
      </c>
      <c r="U419" t="e">
        <f>IF(V419="","",INDEX('Backing 4'!Z:Z,MATCH(V419,'Backing 4'!Y:Y,0)))</f>
        <v>#N/A</v>
      </c>
      <c r="V419" t="str">
        <f t="shared" si="19"/>
        <v xml:space="preserve"> Junior Officer</v>
      </c>
      <c r="W419">
        <v>2</v>
      </c>
      <c r="X419" t="str">
        <f>IF(E419="Y","",IF(Y419="Y",INDEX('Backing 2'!B:B,MATCH(D419,'Backing 2'!C:C,0)),D419))</f>
        <v xml:space="preserve"> Junior Officer</v>
      </c>
      <c r="Y419" t="s">
        <v>81</v>
      </c>
      <c r="Z419">
        <v>2</v>
      </c>
      <c r="AA419" t="s">
        <v>70</v>
      </c>
      <c r="AB419">
        <v>31</v>
      </c>
      <c r="AC419" t="s">
        <v>19</v>
      </c>
      <c r="AD419" t="s">
        <v>19</v>
      </c>
      <c r="AE419" t="s">
        <v>19</v>
      </c>
      <c r="AF419" s="3">
        <v>43191</v>
      </c>
      <c r="AG419">
        <v>2</v>
      </c>
      <c r="AH419">
        <f t="shared" ca="1" si="20"/>
        <v>0.48855689395041213</v>
      </c>
    </row>
    <row r="420" spans="1:34">
      <c r="A420">
        <v>419</v>
      </c>
      <c r="B420" t="s">
        <v>8</v>
      </c>
      <c r="C420">
        <v>6</v>
      </c>
      <c r="D420" t="s">
        <v>134</v>
      </c>
      <c r="E420" t="s">
        <v>81</v>
      </c>
      <c r="F420">
        <v>3</v>
      </c>
      <c r="G420" t="s">
        <v>82</v>
      </c>
      <c r="H420" t="s">
        <v>80</v>
      </c>
      <c r="I420" s="2">
        <v>0.5</v>
      </c>
      <c r="J420" t="s">
        <v>82</v>
      </c>
      <c r="K420" t="s">
        <v>79</v>
      </c>
      <c r="L420" t="s">
        <v>16</v>
      </c>
      <c r="M420">
        <v>0</v>
      </c>
      <c r="N420">
        <v>6</v>
      </c>
      <c r="O420" t="s">
        <v>134</v>
      </c>
      <c r="P420" t="s">
        <v>16</v>
      </c>
      <c r="Q420" s="1" t="s">
        <v>68</v>
      </c>
      <c r="R420" t="s">
        <v>68</v>
      </c>
      <c r="S420" t="e">
        <f>IF(T420="","",INDEX('Backing 4'!U:U,MATCH(T420,'Backing 4'!T:T,0)))</f>
        <v>#N/A</v>
      </c>
      <c r="T420" t="str">
        <f t="shared" si="18"/>
        <v xml:space="preserve"> Junior Officer &amp; Sales &amp; Marketing</v>
      </c>
      <c r="U420" t="e">
        <f>IF(V420="","",INDEX('Backing 4'!Z:Z,MATCH(V420,'Backing 4'!Y:Y,0)))</f>
        <v>#N/A</v>
      </c>
      <c r="V420" t="str">
        <f t="shared" si="19"/>
        <v xml:space="preserve"> Junior Officer</v>
      </c>
      <c r="W420">
        <v>3</v>
      </c>
      <c r="X420" t="str">
        <f>IF(E420="Y","",IF(Y420="Y",INDEX('Backing 2'!B:B,MATCH(D420,'Backing 2'!C:C,0)),D420))</f>
        <v xml:space="preserve"> Junior Officer</v>
      </c>
      <c r="Y420" t="s">
        <v>81</v>
      </c>
      <c r="Z420">
        <v>2</v>
      </c>
      <c r="AA420" t="s">
        <v>69</v>
      </c>
      <c r="AB420">
        <v>21</v>
      </c>
      <c r="AC420" t="s">
        <v>19</v>
      </c>
      <c r="AD420" t="s">
        <v>19</v>
      </c>
      <c r="AE420" t="s">
        <v>19</v>
      </c>
      <c r="AF420" s="3">
        <v>42826</v>
      </c>
      <c r="AG420">
        <v>3</v>
      </c>
      <c r="AH420">
        <f t="shared" ca="1" si="20"/>
        <v>0.78326226558958534</v>
      </c>
    </row>
    <row r="421" spans="1:34">
      <c r="A421">
        <v>420</v>
      </c>
      <c r="B421" t="s">
        <v>7</v>
      </c>
      <c r="C421">
        <v>5</v>
      </c>
      <c r="D421" t="s">
        <v>138</v>
      </c>
      <c r="E421" t="s">
        <v>81</v>
      </c>
      <c r="F421">
        <v>3</v>
      </c>
      <c r="G421" t="s">
        <v>82</v>
      </c>
      <c r="H421" t="s">
        <v>80</v>
      </c>
      <c r="I421" s="2">
        <v>0.5</v>
      </c>
      <c r="J421" t="s">
        <v>82</v>
      </c>
      <c r="K421" t="s">
        <v>79</v>
      </c>
      <c r="L421" t="s">
        <v>14</v>
      </c>
      <c r="M421">
        <v>0</v>
      </c>
      <c r="N421">
        <v>5</v>
      </c>
      <c r="O421" t="s">
        <v>138</v>
      </c>
      <c r="P421" t="s">
        <v>14</v>
      </c>
      <c r="Q421" s="1">
        <v>0.5</v>
      </c>
      <c r="R421" t="s">
        <v>67</v>
      </c>
      <c r="S421" t="e">
        <f>IF(T421="","",INDEX('Backing 4'!U:U,MATCH(T421,'Backing 4'!T:T,0)))</f>
        <v>#N/A</v>
      </c>
      <c r="T421" t="str">
        <f t="shared" si="18"/>
        <v xml:space="preserve"> Senior Officer &amp; Operations</v>
      </c>
      <c r="U421" t="e">
        <f>IF(V421="","",INDEX('Backing 4'!Z:Z,MATCH(V421,'Backing 4'!Y:Y,0)))</f>
        <v>#N/A</v>
      </c>
      <c r="V421" t="str">
        <f t="shared" si="19"/>
        <v xml:space="preserve"> Senior Officer</v>
      </c>
      <c r="W421">
        <v>2</v>
      </c>
      <c r="X421" t="str">
        <f>IF(E421="Y","",IF(Y421="Y",INDEX('Backing 2'!B:B,MATCH(D421,'Backing 2'!C:C,0)),D421))</f>
        <v xml:space="preserve"> Senior Officer</v>
      </c>
      <c r="Y421" t="s">
        <v>81</v>
      </c>
      <c r="Z421">
        <v>3</v>
      </c>
      <c r="AA421" t="s">
        <v>70</v>
      </c>
      <c r="AB421">
        <v>33</v>
      </c>
      <c r="AC421" t="s">
        <v>30</v>
      </c>
      <c r="AD421" t="s">
        <v>74</v>
      </c>
      <c r="AE421" t="s">
        <v>74</v>
      </c>
      <c r="AF421" s="3">
        <v>41730</v>
      </c>
      <c r="AG421">
        <v>6</v>
      </c>
      <c r="AH421">
        <f t="shared" ca="1" si="20"/>
        <v>0.47192753919134178</v>
      </c>
    </row>
    <row r="422" spans="1:34">
      <c r="A422">
        <v>421</v>
      </c>
      <c r="B422" t="s">
        <v>8</v>
      </c>
      <c r="C422">
        <v>2</v>
      </c>
      <c r="D422" t="s">
        <v>136</v>
      </c>
      <c r="E422" t="s">
        <v>81</v>
      </c>
      <c r="F422">
        <v>3</v>
      </c>
      <c r="G422" t="s">
        <v>80</v>
      </c>
      <c r="H422" t="s">
        <v>80</v>
      </c>
      <c r="I422" s="2">
        <v>0.5</v>
      </c>
      <c r="J422" t="s">
        <v>82</v>
      </c>
      <c r="K422" t="s">
        <v>79</v>
      </c>
      <c r="L422" t="s">
        <v>17</v>
      </c>
      <c r="M422">
        <v>0</v>
      </c>
      <c r="N422">
        <v>1</v>
      </c>
      <c r="O422" t="s">
        <v>139</v>
      </c>
      <c r="P422" t="s">
        <v>17</v>
      </c>
      <c r="Q422" s="1" t="s">
        <v>68</v>
      </c>
      <c r="R422" t="s">
        <v>68</v>
      </c>
      <c r="S422" t="e">
        <f>IF(T422="","",INDEX('Backing 4'!U:U,MATCH(T422,'Backing 4'!T:T,0)))</f>
        <v>#N/A</v>
      </c>
      <c r="T422" t="str">
        <f t="shared" si="18"/>
        <v xml:space="preserve"> Director &amp; Strategy</v>
      </c>
      <c r="U422" t="s">
        <v>120</v>
      </c>
      <c r="V422" t="str">
        <f t="shared" si="19"/>
        <v xml:space="preserve"> Director</v>
      </c>
      <c r="W422">
        <v>3</v>
      </c>
      <c r="X422" t="str">
        <f>IF(E422="Y","",IF(Y422="Y",INDEX('Backing 2'!B:B,MATCH(D422,'Backing 2'!C:C,0)),D422))</f>
        <v xml:space="preserve"> Director</v>
      </c>
      <c r="Y422" t="s">
        <v>81</v>
      </c>
      <c r="Z422">
        <v>3</v>
      </c>
      <c r="AA422" t="s">
        <v>71</v>
      </c>
      <c r="AB422">
        <v>48</v>
      </c>
      <c r="AC422" t="s">
        <v>31</v>
      </c>
      <c r="AD422" t="s">
        <v>74</v>
      </c>
      <c r="AE422" t="s">
        <v>74</v>
      </c>
      <c r="AF422" s="3">
        <v>42095</v>
      </c>
      <c r="AG422">
        <v>5</v>
      </c>
      <c r="AH422">
        <f t="shared" ca="1" si="20"/>
        <v>0.24991240060679676</v>
      </c>
    </row>
    <row r="423" spans="1:34">
      <c r="A423">
        <v>422</v>
      </c>
      <c r="B423" t="s">
        <v>7</v>
      </c>
      <c r="C423">
        <v>6</v>
      </c>
      <c r="D423" t="s">
        <v>134</v>
      </c>
      <c r="E423" t="s">
        <v>81</v>
      </c>
      <c r="F423">
        <v>2</v>
      </c>
      <c r="G423" t="s">
        <v>82</v>
      </c>
      <c r="H423" t="s">
        <v>80</v>
      </c>
      <c r="I423" s="2">
        <v>0.5</v>
      </c>
      <c r="J423" t="s">
        <v>82</v>
      </c>
      <c r="K423" t="s">
        <v>79</v>
      </c>
      <c r="L423" t="s">
        <v>14</v>
      </c>
      <c r="M423">
        <v>0</v>
      </c>
      <c r="N423">
        <v>6</v>
      </c>
      <c r="O423" t="s">
        <v>134</v>
      </c>
      <c r="P423" t="s">
        <v>14</v>
      </c>
      <c r="Q423" s="1" t="s">
        <v>68</v>
      </c>
      <c r="R423" t="s">
        <v>68</v>
      </c>
      <c r="S423" t="e">
        <f>IF(T423="","",INDEX('Backing 4'!U:U,MATCH(T423,'Backing 4'!T:T,0)))</f>
        <v>#N/A</v>
      </c>
      <c r="T423" t="str">
        <f t="shared" si="18"/>
        <v xml:space="preserve"> Junior Officer &amp; Operations</v>
      </c>
      <c r="U423" t="e">
        <f>IF(V423="","",INDEX('Backing 4'!Z:Z,MATCH(V423,'Backing 4'!Y:Y,0)))</f>
        <v>#N/A</v>
      </c>
      <c r="V423" t="str">
        <f t="shared" si="19"/>
        <v xml:space="preserve"> Junior Officer</v>
      </c>
      <c r="W423">
        <v>2</v>
      </c>
      <c r="X423" t="str">
        <f>IF(E423="Y","",IF(Y423="Y",INDEX('Backing 2'!B:B,MATCH(D423,'Backing 2'!C:C,0)),D423))</f>
        <v xml:space="preserve"> Junior Officer</v>
      </c>
      <c r="Y423" t="s">
        <v>81</v>
      </c>
      <c r="Z423">
        <v>2</v>
      </c>
      <c r="AA423" t="s">
        <v>69</v>
      </c>
      <c r="AB423">
        <v>24</v>
      </c>
      <c r="AC423" t="s">
        <v>19</v>
      </c>
      <c r="AD423" t="s">
        <v>19</v>
      </c>
      <c r="AE423" t="s">
        <v>19</v>
      </c>
      <c r="AF423" s="3">
        <v>43191</v>
      </c>
      <c r="AG423">
        <v>2</v>
      </c>
      <c r="AH423">
        <f t="shared" ca="1" si="20"/>
        <v>0.12348125868417625</v>
      </c>
    </row>
    <row r="424" spans="1:34">
      <c r="A424">
        <v>423</v>
      </c>
      <c r="B424" t="s">
        <v>8</v>
      </c>
      <c r="C424">
        <v>6</v>
      </c>
      <c r="D424" t="s">
        <v>134</v>
      </c>
      <c r="E424" t="s">
        <v>81</v>
      </c>
      <c r="F424">
        <v>3</v>
      </c>
      <c r="G424" t="s">
        <v>82</v>
      </c>
      <c r="H424" t="s">
        <v>80</v>
      </c>
      <c r="I424" s="2">
        <v>0.5</v>
      </c>
      <c r="J424" t="s">
        <v>82</v>
      </c>
      <c r="K424" t="s">
        <v>79</v>
      </c>
      <c r="L424" t="s">
        <v>14</v>
      </c>
      <c r="M424">
        <v>0</v>
      </c>
      <c r="N424">
        <v>6</v>
      </c>
      <c r="O424" t="s">
        <v>134</v>
      </c>
      <c r="P424" t="s">
        <v>14</v>
      </c>
      <c r="Q424" s="1" t="s">
        <v>68</v>
      </c>
      <c r="R424" t="s">
        <v>68</v>
      </c>
      <c r="S424" t="e">
        <f>IF(T424="","",INDEX('Backing 4'!U:U,MATCH(T424,'Backing 4'!T:T,0)))</f>
        <v>#N/A</v>
      </c>
      <c r="T424" t="str">
        <f t="shared" si="18"/>
        <v xml:space="preserve"> Junior Officer &amp; Operations</v>
      </c>
      <c r="U424" t="e">
        <f>IF(V424="","",INDEX('Backing 4'!Z:Z,MATCH(V424,'Backing 4'!Y:Y,0)))</f>
        <v>#N/A</v>
      </c>
      <c r="V424" t="str">
        <f t="shared" si="19"/>
        <v xml:space="preserve"> Junior Officer</v>
      </c>
      <c r="W424">
        <v>3</v>
      </c>
      <c r="X424" t="str">
        <f>IF(E424="Y","",IF(Y424="Y",INDEX('Backing 2'!B:B,MATCH(D424,'Backing 2'!C:C,0)),D424))</f>
        <v xml:space="preserve"> Junior Officer</v>
      </c>
      <c r="Y424" t="s">
        <v>81</v>
      </c>
      <c r="Z424">
        <v>3</v>
      </c>
      <c r="AA424" t="s">
        <v>69</v>
      </c>
      <c r="AB424">
        <v>24</v>
      </c>
      <c r="AC424" t="s">
        <v>30</v>
      </c>
      <c r="AD424" t="s">
        <v>74</v>
      </c>
      <c r="AE424" t="s">
        <v>74</v>
      </c>
      <c r="AF424" s="3">
        <v>42826</v>
      </c>
      <c r="AG424">
        <v>3</v>
      </c>
      <c r="AH424">
        <f t="shared" ca="1" si="20"/>
        <v>0.82860063468309941</v>
      </c>
    </row>
    <row r="425" spans="1:34">
      <c r="A425">
        <v>424</v>
      </c>
      <c r="B425" t="s">
        <v>7</v>
      </c>
      <c r="C425">
        <v>6</v>
      </c>
      <c r="D425" t="s">
        <v>134</v>
      </c>
      <c r="E425" t="s">
        <v>79</v>
      </c>
      <c r="F425">
        <v>0</v>
      </c>
      <c r="G425" t="s">
        <v>82</v>
      </c>
      <c r="H425" t="s">
        <v>82</v>
      </c>
      <c r="I425" s="2">
        <v>0.5</v>
      </c>
      <c r="J425" t="s">
        <v>82</v>
      </c>
      <c r="K425" t="s">
        <v>81</v>
      </c>
      <c r="L425" t="s">
        <v>14</v>
      </c>
      <c r="M425">
        <v>0</v>
      </c>
      <c r="N425">
        <v>6</v>
      </c>
      <c r="O425" t="s">
        <v>134</v>
      </c>
      <c r="P425" t="s">
        <v>14</v>
      </c>
      <c r="Q425" s="1" t="s">
        <v>68</v>
      </c>
      <c r="R425" t="s">
        <v>68</v>
      </c>
      <c r="S425" t="e">
        <f>IF(T425="","",INDEX('Backing 4'!U:U,MATCH(T425,'Backing 4'!T:T,0)))</f>
        <v>#N/A</v>
      </c>
      <c r="T425" t="str">
        <f t="shared" si="18"/>
        <v xml:space="preserve"> Junior Officer &amp; Operations</v>
      </c>
      <c r="U425" t="e">
        <f>IF(V425="","",INDEX('Backing 4'!Z:Z,MATCH(V425,'Backing 4'!Y:Y,0)))</f>
        <v>#N/A</v>
      </c>
      <c r="V425" t="str">
        <f t="shared" si="19"/>
        <v xml:space="preserve"> Junior Officer</v>
      </c>
      <c r="W425">
        <v>0</v>
      </c>
      <c r="X425" t="str">
        <f>IF(E425="Y","",IF(Y425="Y",INDEX('Backing 2'!B:B,MATCH(D425,'Backing 2'!C:C,0)),D425))</f>
        <v/>
      </c>
      <c r="Y425" t="s">
        <v>81</v>
      </c>
      <c r="Z425">
        <v>0</v>
      </c>
      <c r="AA425" t="s">
        <v>69</v>
      </c>
      <c r="AB425">
        <v>22</v>
      </c>
      <c r="AC425" t="s">
        <v>19</v>
      </c>
      <c r="AD425" t="s">
        <v>19</v>
      </c>
      <c r="AE425" t="s">
        <v>19</v>
      </c>
      <c r="AF425" s="3">
        <v>43922</v>
      </c>
      <c r="AG425">
        <v>0</v>
      </c>
      <c r="AH425">
        <f t="shared" ca="1" si="20"/>
        <v>0.41210683909089252</v>
      </c>
    </row>
    <row r="426" spans="1:34">
      <c r="A426">
        <v>425</v>
      </c>
      <c r="B426" t="s">
        <v>8</v>
      </c>
      <c r="C426">
        <v>1</v>
      </c>
      <c r="D426" t="s">
        <v>139</v>
      </c>
      <c r="E426" t="s">
        <v>81</v>
      </c>
      <c r="F426">
        <v>0</v>
      </c>
      <c r="G426" t="s">
        <v>82</v>
      </c>
      <c r="H426" t="s">
        <v>82</v>
      </c>
      <c r="I426" s="2">
        <v>0.5</v>
      </c>
      <c r="J426" t="s">
        <v>82</v>
      </c>
      <c r="K426" t="s">
        <v>79</v>
      </c>
      <c r="L426" t="s">
        <v>17</v>
      </c>
      <c r="M426">
        <v>0</v>
      </c>
      <c r="N426">
        <v>1</v>
      </c>
      <c r="O426" t="s">
        <v>139</v>
      </c>
      <c r="P426" t="s">
        <v>17</v>
      </c>
      <c r="Q426" s="1" t="s">
        <v>68</v>
      </c>
      <c r="R426" t="s">
        <v>68</v>
      </c>
      <c r="S426" t="e">
        <f>IF(T426="","",INDEX('Backing 4'!U:U,MATCH(T426,'Backing 4'!T:T,0)))</f>
        <v>#N/A</v>
      </c>
      <c r="T426" t="str">
        <f t="shared" si="18"/>
        <v xml:space="preserve"> Executive &amp; Strategy</v>
      </c>
      <c r="U426" t="e">
        <f>IF(V426="","",INDEX('Backing 4'!Z:Z,MATCH(V426,'Backing 4'!Y:Y,0)))</f>
        <v>#N/A</v>
      </c>
      <c r="V426" t="str">
        <f t="shared" si="19"/>
        <v xml:space="preserve"> Executive</v>
      </c>
      <c r="W426">
        <v>1</v>
      </c>
      <c r="X426" t="e">
        <f>IF(E426="Y","",IF(Y426="Y",INDEX('Backing 2'!B:B,MATCH(D426,'Backing 2'!C:C,0)),D426))</f>
        <v>#N/A</v>
      </c>
      <c r="Y426" t="s">
        <v>79</v>
      </c>
      <c r="Z426">
        <v>2</v>
      </c>
      <c r="AA426" t="s">
        <v>71</v>
      </c>
      <c r="AB426">
        <v>42</v>
      </c>
      <c r="AC426" t="s">
        <v>30</v>
      </c>
      <c r="AD426" t="s">
        <v>74</v>
      </c>
      <c r="AE426" t="s">
        <v>74</v>
      </c>
      <c r="AF426" s="3">
        <v>42095</v>
      </c>
      <c r="AG426">
        <v>5</v>
      </c>
      <c r="AH426">
        <f t="shared" ca="1" si="20"/>
        <v>0.28134630944425898</v>
      </c>
    </row>
    <row r="427" spans="1:34">
      <c r="A427">
        <v>426</v>
      </c>
      <c r="B427" t="s">
        <v>7</v>
      </c>
      <c r="C427">
        <v>6</v>
      </c>
      <c r="D427" t="s">
        <v>134</v>
      </c>
      <c r="E427" t="s">
        <v>81</v>
      </c>
      <c r="F427">
        <v>2</v>
      </c>
      <c r="G427" t="s">
        <v>82</v>
      </c>
      <c r="H427" t="s">
        <v>80</v>
      </c>
      <c r="I427" s="2">
        <v>0.5</v>
      </c>
      <c r="J427" t="s">
        <v>82</v>
      </c>
      <c r="K427" t="s">
        <v>79</v>
      </c>
      <c r="L427" t="s">
        <v>16</v>
      </c>
      <c r="M427">
        <v>0</v>
      </c>
      <c r="N427">
        <v>6</v>
      </c>
      <c r="O427" t="s">
        <v>134</v>
      </c>
      <c r="P427" t="s">
        <v>16</v>
      </c>
      <c r="Q427" s="1" t="s">
        <v>68</v>
      </c>
      <c r="R427" t="s">
        <v>68</v>
      </c>
      <c r="S427" t="e">
        <f>IF(T427="","",INDEX('Backing 4'!U:U,MATCH(T427,'Backing 4'!T:T,0)))</f>
        <v>#N/A</v>
      </c>
      <c r="T427" t="str">
        <f t="shared" si="18"/>
        <v xml:space="preserve"> Junior Officer &amp; Sales &amp; Marketing</v>
      </c>
      <c r="U427" t="e">
        <f>IF(V427="","",INDEX('Backing 4'!Z:Z,MATCH(V427,'Backing 4'!Y:Y,0)))</f>
        <v>#N/A</v>
      </c>
      <c r="V427" t="str">
        <f t="shared" si="19"/>
        <v xml:space="preserve"> Junior Officer</v>
      </c>
      <c r="W427">
        <v>2</v>
      </c>
      <c r="X427" t="str">
        <f>IF(E427="Y","",IF(Y427="Y",INDEX('Backing 2'!B:B,MATCH(D427,'Backing 2'!C:C,0)),D427))</f>
        <v xml:space="preserve"> Junior Officer</v>
      </c>
      <c r="Y427" t="s">
        <v>81</v>
      </c>
      <c r="Z427">
        <v>3</v>
      </c>
      <c r="AA427" t="s">
        <v>69</v>
      </c>
      <c r="AB427">
        <v>25</v>
      </c>
      <c r="AC427" t="s">
        <v>26</v>
      </c>
      <c r="AD427" t="s">
        <v>74</v>
      </c>
      <c r="AE427" t="s">
        <v>74</v>
      </c>
      <c r="AF427" s="3">
        <v>43191</v>
      </c>
      <c r="AG427">
        <v>2</v>
      </c>
      <c r="AH427">
        <f t="shared" ca="1" si="20"/>
        <v>0.15456328592501523</v>
      </c>
    </row>
    <row r="428" spans="1:34">
      <c r="A428">
        <v>427</v>
      </c>
      <c r="B428" t="s">
        <v>8</v>
      </c>
      <c r="C428">
        <v>1</v>
      </c>
      <c r="D428" t="s">
        <v>139</v>
      </c>
      <c r="E428" t="s">
        <v>79</v>
      </c>
      <c r="F428">
        <v>0</v>
      </c>
      <c r="G428" t="s">
        <v>82</v>
      </c>
      <c r="H428" t="s">
        <v>82</v>
      </c>
      <c r="I428" s="2">
        <v>0.5</v>
      </c>
      <c r="J428" t="s">
        <v>82</v>
      </c>
      <c r="K428" t="s">
        <v>81</v>
      </c>
      <c r="L428" t="s">
        <v>17</v>
      </c>
      <c r="M428">
        <v>0</v>
      </c>
      <c r="N428">
        <v>1</v>
      </c>
      <c r="O428" t="s">
        <v>139</v>
      </c>
      <c r="P428" t="s">
        <v>17</v>
      </c>
      <c r="Q428" s="1" t="s">
        <v>68</v>
      </c>
      <c r="R428" t="s">
        <v>68</v>
      </c>
      <c r="S428" t="e">
        <f>IF(T428="","",INDEX('Backing 4'!U:U,MATCH(T428,'Backing 4'!T:T,0)))</f>
        <v>#N/A</v>
      </c>
      <c r="T428" t="str">
        <f t="shared" si="18"/>
        <v xml:space="preserve"> Executive &amp; Strategy</v>
      </c>
      <c r="U428" t="e">
        <f>IF(V428="","",INDEX('Backing 4'!Z:Z,MATCH(V428,'Backing 4'!Y:Y,0)))</f>
        <v>#N/A</v>
      </c>
      <c r="V428" t="str">
        <f t="shared" si="19"/>
        <v xml:space="preserve"> Executive</v>
      </c>
      <c r="W428">
        <v>0</v>
      </c>
      <c r="X428" t="str">
        <f>IF(E428="Y","",IF(Y428="Y",INDEX('Backing 2'!B:B,MATCH(D428,'Backing 2'!C:C,0)),D428))</f>
        <v/>
      </c>
      <c r="Y428" t="s">
        <v>81</v>
      </c>
      <c r="Z428">
        <v>0</v>
      </c>
      <c r="AA428" t="s">
        <v>73</v>
      </c>
      <c r="AB428">
        <v>60</v>
      </c>
      <c r="AC428" t="s">
        <v>31</v>
      </c>
      <c r="AD428" t="s">
        <v>74</v>
      </c>
      <c r="AE428" t="s">
        <v>74</v>
      </c>
      <c r="AF428" s="3">
        <v>43922</v>
      </c>
      <c r="AG428">
        <v>0</v>
      </c>
      <c r="AH428">
        <f t="shared" ca="1" si="20"/>
        <v>0.77263622307783486</v>
      </c>
    </row>
    <row r="429" spans="1:34">
      <c r="A429">
        <v>428</v>
      </c>
      <c r="B429" t="s">
        <v>7</v>
      </c>
      <c r="C429">
        <v>5</v>
      </c>
      <c r="D429" s="4" t="s">
        <v>138</v>
      </c>
      <c r="E429" t="s">
        <v>81</v>
      </c>
      <c r="F429">
        <v>3</v>
      </c>
      <c r="G429" t="s">
        <v>82</v>
      </c>
      <c r="H429" t="s">
        <v>82</v>
      </c>
      <c r="I429" s="2">
        <v>0.5</v>
      </c>
      <c r="J429" t="s">
        <v>80</v>
      </c>
      <c r="K429" t="s">
        <v>79</v>
      </c>
      <c r="L429" t="s">
        <v>12</v>
      </c>
      <c r="M429" t="s">
        <v>83</v>
      </c>
      <c r="N429">
        <v>0</v>
      </c>
      <c r="O429" t="s">
        <v>142</v>
      </c>
      <c r="P429" t="s">
        <v>12</v>
      </c>
      <c r="Q429" s="1" t="s">
        <v>68</v>
      </c>
      <c r="R429" t="s">
        <v>68</v>
      </c>
      <c r="S429" t="e">
        <f>IF(T429="","",INDEX('Backing 4'!U:U,MATCH(T429,'Backing 4'!T:T,0)))</f>
        <v>#N/A</v>
      </c>
      <c r="T429" t="str">
        <f t="shared" si="18"/>
        <v xml:space="preserve"> Senior Officer &amp; Finance</v>
      </c>
      <c r="U429" t="e">
        <f>IF(V429="","",INDEX('Backing 4'!Z:Z,MATCH(V429,'Backing 4'!Y:Y,0)))</f>
        <v>#N/A</v>
      </c>
      <c r="V429" t="str">
        <f t="shared" si="19"/>
        <v xml:space="preserve"> Senior Officer</v>
      </c>
      <c r="W429">
        <v>4</v>
      </c>
      <c r="X429" t="str">
        <f>IF(E429="Y","",IF(Y429="Y",INDEX('Backing 2'!B:B,MATCH(D429,'Backing 2'!C:C,0)),D429))</f>
        <v xml:space="preserve"> Senior Officer</v>
      </c>
      <c r="Y429" t="s">
        <v>81</v>
      </c>
      <c r="Z429">
        <v>2</v>
      </c>
      <c r="AA429" t="s">
        <v>70</v>
      </c>
      <c r="AB429">
        <v>35</v>
      </c>
      <c r="AC429" t="s">
        <v>19</v>
      </c>
      <c r="AD429" t="s">
        <v>19</v>
      </c>
      <c r="AE429" t="s">
        <v>19</v>
      </c>
      <c r="AF429" s="3">
        <v>41000</v>
      </c>
      <c r="AG429">
        <v>8</v>
      </c>
      <c r="AH429">
        <f t="shared" ca="1" si="20"/>
        <v>0.21924462207677209</v>
      </c>
    </row>
    <row r="430" spans="1:34">
      <c r="A430">
        <v>429</v>
      </c>
      <c r="B430" t="s">
        <v>8</v>
      </c>
      <c r="C430">
        <v>3</v>
      </c>
      <c r="D430" t="s">
        <v>137</v>
      </c>
      <c r="E430" t="s">
        <v>81</v>
      </c>
      <c r="F430">
        <v>2</v>
      </c>
      <c r="G430" t="s">
        <v>82</v>
      </c>
      <c r="H430" t="s">
        <v>80</v>
      </c>
      <c r="I430" s="2">
        <v>0.5</v>
      </c>
      <c r="J430" t="s">
        <v>82</v>
      </c>
      <c r="K430" t="s">
        <v>79</v>
      </c>
      <c r="L430" t="s">
        <v>14</v>
      </c>
      <c r="M430">
        <v>0</v>
      </c>
      <c r="N430">
        <v>3</v>
      </c>
      <c r="O430" t="s">
        <v>137</v>
      </c>
      <c r="P430" t="s">
        <v>14</v>
      </c>
      <c r="Q430" s="1" t="s">
        <v>68</v>
      </c>
      <c r="R430" t="s">
        <v>68</v>
      </c>
      <c r="S430" t="e">
        <f>IF(T430="","",INDEX('Backing 4'!U:U,MATCH(T430,'Backing 4'!T:T,0)))</f>
        <v>#N/A</v>
      </c>
      <c r="T430" t="str">
        <f t="shared" si="18"/>
        <v xml:space="preserve"> Senior Manager &amp; Operations</v>
      </c>
      <c r="U430" t="e">
        <f>IF(V430="","",INDEX('Backing 4'!Z:Z,MATCH(V430,'Backing 4'!Y:Y,0)))</f>
        <v>#N/A</v>
      </c>
      <c r="V430" t="str">
        <f t="shared" si="19"/>
        <v xml:space="preserve"> Senior Manager</v>
      </c>
      <c r="W430">
        <v>1</v>
      </c>
      <c r="X430" t="e">
        <f>IF(E430="Y","",IF(Y430="Y",INDEX('Backing 2'!B:B,MATCH(D430,'Backing 2'!C:C,0)),D430))</f>
        <v>#N/A</v>
      </c>
      <c r="Y430" t="s">
        <v>79</v>
      </c>
      <c r="Z430">
        <v>1</v>
      </c>
      <c r="AA430" t="s">
        <v>70</v>
      </c>
      <c r="AB430">
        <v>37</v>
      </c>
      <c r="AC430" t="s">
        <v>36</v>
      </c>
      <c r="AD430" t="s">
        <v>74</v>
      </c>
      <c r="AE430" t="s">
        <v>74</v>
      </c>
      <c r="AF430" s="3">
        <v>41365</v>
      </c>
      <c r="AG430">
        <v>7</v>
      </c>
      <c r="AH430">
        <f t="shared" ca="1" si="20"/>
        <v>0.85349204047954952</v>
      </c>
    </row>
    <row r="431" spans="1:34">
      <c r="A431">
        <v>430</v>
      </c>
      <c r="B431" t="s">
        <v>8</v>
      </c>
      <c r="C431">
        <v>5</v>
      </c>
      <c r="D431" t="s">
        <v>138</v>
      </c>
      <c r="E431" t="s">
        <v>81</v>
      </c>
      <c r="F431">
        <v>4</v>
      </c>
      <c r="G431" t="s">
        <v>82</v>
      </c>
      <c r="H431" t="s">
        <v>80</v>
      </c>
      <c r="I431" s="2">
        <v>0.5</v>
      </c>
      <c r="J431" t="s">
        <v>82</v>
      </c>
      <c r="K431" t="s">
        <v>79</v>
      </c>
      <c r="L431" t="s">
        <v>16</v>
      </c>
      <c r="M431">
        <v>0</v>
      </c>
      <c r="N431">
        <v>5</v>
      </c>
      <c r="O431" t="s">
        <v>138</v>
      </c>
      <c r="P431" t="s">
        <v>16</v>
      </c>
      <c r="Q431" s="1" t="s">
        <v>68</v>
      </c>
      <c r="R431" t="s">
        <v>68</v>
      </c>
      <c r="S431" t="e">
        <f>IF(T431="","",INDEX('Backing 4'!U:U,MATCH(T431,'Backing 4'!T:T,0)))</f>
        <v>#N/A</v>
      </c>
      <c r="T431" t="str">
        <f t="shared" si="18"/>
        <v xml:space="preserve"> Senior Officer &amp; Sales &amp; Marketing</v>
      </c>
      <c r="U431" t="e">
        <f>IF(V431="","",INDEX('Backing 4'!Z:Z,MATCH(V431,'Backing 4'!Y:Y,0)))</f>
        <v>#N/A</v>
      </c>
      <c r="V431" t="str">
        <f t="shared" si="19"/>
        <v xml:space="preserve"> Senior Officer</v>
      </c>
      <c r="W431">
        <v>3</v>
      </c>
      <c r="X431" t="str">
        <f>IF(E431="Y","",IF(Y431="Y",INDEX('Backing 2'!B:B,MATCH(D431,'Backing 2'!C:C,0)),D431))</f>
        <v xml:space="preserve"> Senior Officer</v>
      </c>
      <c r="Y431" t="s">
        <v>81</v>
      </c>
      <c r="Z431">
        <v>3</v>
      </c>
      <c r="AA431" t="s">
        <v>69</v>
      </c>
      <c r="AB431">
        <v>27</v>
      </c>
      <c r="AC431" t="s">
        <v>19</v>
      </c>
      <c r="AD431" t="s">
        <v>19</v>
      </c>
      <c r="AE431" t="s">
        <v>19</v>
      </c>
      <c r="AF431" s="3">
        <v>42461</v>
      </c>
      <c r="AG431">
        <v>4</v>
      </c>
      <c r="AH431">
        <f t="shared" ca="1" si="20"/>
        <v>0.93278823815659551</v>
      </c>
    </row>
    <row r="432" spans="1:34">
      <c r="A432">
        <v>431</v>
      </c>
      <c r="B432" t="s">
        <v>8</v>
      </c>
      <c r="C432">
        <v>4</v>
      </c>
      <c r="D432" t="s">
        <v>135</v>
      </c>
      <c r="E432" t="s">
        <v>81</v>
      </c>
      <c r="F432">
        <v>4</v>
      </c>
      <c r="G432" t="s">
        <v>82</v>
      </c>
      <c r="H432" t="s">
        <v>80</v>
      </c>
      <c r="I432" s="2">
        <v>0.5</v>
      </c>
      <c r="J432" t="s">
        <v>82</v>
      </c>
      <c r="K432" t="s">
        <v>79</v>
      </c>
      <c r="L432" t="s">
        <v>14</v>
      </c>
      <c r="M432">
        <v>0</v>
      </c>
      <c r="N432">
        <v>4</v>
      </c>
      <c r="O432" t="s">
        <v>135</v>
      </c>
      <c r="P432" t="s">
        <v>14</v>
      </c>
      <c r="Q432" s="1" t="s">
        <v>68</v>
      </c>
      <c r="R432" t="s">
        <v>68</v>
      </c>
      <c r="S432" t="e">
        <f>IF(T432="","",INDEX('Backing 4'!U:U,MATCH(T432,'Backing 4'!T:T,0)))</f>
        <v>#N/A</v>
      </c>
      <c r="T432" t="str">
        <f t="shared" si="18"/>
        <v xml:space="preserve"> Manager &amp; Operations</v>
      </c>
      <c r="U432" t="e">
        <f>IF(V432="","",INDEX('Backing 4'!Z:Z,MATCH(V432,'Backing 4'!Y:Y,0)))</f>
        <v>#N/A</v>
      </c>
      <c r="V432" t="str">
        <f t="shared" si="19"/>
        <v xml:space="preserve"> Manager</v>
      </c>
      <c r="W432">
        <v>2</v>
      </c>
      <c r="X432" t="str">
        <f>IF(E432="Y","",IF(Y432="Y",INDEX('Backing 2'!B:B,MATCH(D432,'Backing 2'!C:C,0)),D432))</f>
        <v xml:space="preserve"> Manager</v>
      </c>
      <c r="Y432" t="s">
        <v>81</v>
      </c>
      <c r="Z432">
        <v>2</v>
      </c>
      <c r="AA432" t="s">
        <v>70</v>
      </c>
      <c r="AB432">
        <v>33</v>
      </c>
      <c r="AC432" t="s">
        <v>19</v>
      </c>
      <c r="AD432" t="s">
        <v>19</v>
      </c>
      <c r="AE432" t="s">
        <v>19</v>
      </c>
      <c r="AF432" s="3">
        <v>43191</v>
      </c>
      <c r="AG432">
        <v>2</v>
      </c>
      <c r="AH432">
        <f t="shared" ca="1" si="20"/>
        <v>0.58767228055924337</v>
      </c>
    </row>
    <row r="433" spans="1:34">
      <c r="A433">
        <v>432</v>
      </c>
      <c r="B433" t="s">
        <v>7</v>
      </c>
      <c r="C433">
        <v>6</v>
      </c>
      <c r="D433" t="s">
        <v>134</v>
      </c>
      <c r="E433" t="s">
        <v>81</v>
      </c>
      <c r="F433">
        <v>2</v>
      </c>
      <c r="G433" t="s">
        <v>82</v>
      </c>
      <c r="H433" t="s">
        <v>80</v>
      </c>
      <c r="I433" s="2">
        <v>0.5</v>
      </c>
      <c r="J433" t="s">
        <v>82</v>
      </c>
      <c r="K433" t="s">
        <v>79</v>
      </c>
      <c r="L433" t="s">
        <v>14</v>
      </c>
      <c r="M433">
        <v>0</v>
      </c>
      <c r="N433">
        <v>6</v>
      </c>
      <c r="O433" t="s">
        <v>134</v>
      </c>
      <c r="P433" t="s">
        <v>14</v>
      </c>
      <c r="Q433" s="1" t="s">
        <v>68</v>
      </c>
      <c r="R433" t="s">
        <v>68</v>
      </c>
      <c r="S433" t="e">
        <f>IF(T433="","",INDEX('Backing 4'!U:U,MATCH(T433,'Backing 4'!T:T,0)))</f>
        <v>#N/A</v>
      </c>
      <c r="T433" t="str">
        <f t="shared" si="18"/>
        <v xml:space="preserve"> Junior Officer &amp; Operations</v>
      </c>
      <c r="U433" t="e">
        <f>IF(V433="","",INDEX('Backing 4'!Z:Z,MATCH(V433,'Backing 4'!Y:Y,0)))</f>
        <v>#N/A</v>
      </c>
      <c r="V433" t="str">
        <f t="shared" si="19"/>
        <v xml:space="preserve"> Junior Officer</v>
      </c>
      <c r="W433">
        <v>2</v>
      </c>
      <c r="X433" t="str">
        <f>IF(E433="Y","",IF(Y433="Y",INDEX('Backing 2'!B:B,MATCH(D433,'Backing 2'!C:C,0)),D433))</f>
        <v xml:space="preserve"> Junior Officer</v>
      </c>
      <c r="Y433" t="s">
        <v>81</v>
      </c>
      <c r="Z433">
        <v>2</v>
      </c>
      <c r="AA433" t="s">
        <v>69</v>
      </c>
      <c r="AB433">
        <v>23</v>
      </c>
      <c r="AC433" t="s">
        <v>31</v>
      </c>
      <c r="AD433" t="s">
        <v>74</v>
      </c>
      <c r="AE433" t="s">
        <v>74</v>
      </c>
      <c r="AF433" s="3">
        <v>43191</v>
      </c>
      <c r="AG433">
        <v>2</v>
      </c>
      <c r="AH433">
        <f t="shared" ca="1" si="20"/>
        <v>0.41558669539174775</v>
      </c>
    </row>
    <row r="434" spans="1:34">
      <c r="A434">
        <v>433</v>
      </c>
      <c r="B434" t="s">
        <v>8</v>
      </c>
      <c r="C434">
        <v>2</v>
      </c>
      <c r="D434" t="s">
        <v>136</v>
      </c>
      <c r="E434" t="s">
        <v>81</v>
      </c>
      <c r="F434">
        <v>3</v>
      </c>
      <c r="G434" t="s">
        <v>82</v>
      </c>
      <c r="H434" t="s">
        <v>80</v>
      </c>
      <c r="I434" s="2">
        <v>0.5</v>
      </c>
      <c r="J434" t="s">
        <v>82</v>
      </c>
      <c r="K434" t="s">
        <v>79</v>
      </c>
      <c r="L434" t="s">
        <v>14</v>
      </c>
      <c r="M434">
        <v>0</v>
      </c>
      <c r="N434">
        <v>2</v>
      </c>
      <c r="O434" t="s">
        <v>136</v>
      </c>
      <c r="P434" t="s">
        <v>14</v>
      </c>
      <c r="Q434" s="1" t="s">
        <v>68</v>
      </c>
      <c r="R434" t="s">
        <v>68</v>
      </c>
      <c r="S434" t="e">
        <f>IF(T434="","",INDEX('Backing 4'!U:U,MATCH(T434,'Backing 4'!T:T,0)))</f>
        <v>#N/A</v>
      </c>
      <c r="T434" t="str">
        <f t="shared" si="18"/>
        <v xml:space="preserve"> Director &amp; Operations</v>
      </c>
      <c r="U434" t="s">
        <v>120</v>
      </c>
      <c r="V434" t="str">
        <f t="shared" si="19"/>
        <v xml:space="preserve"> Director</v>
      </c>
      <c r="W434">
        <v>3</v>
      </c>
      <c r="X434" t="str">
        <f>IF(E434="Y","",IF(Y434="Y",INDEX('Backing 2'!B:B,MATCH(D434,'Backing 2'!C:C,0)),D434))</f>
        <v xml:space="preserve"> Director</v>
      </c>
      <c r="Y434" t="s">
        <v>81</v>
      </c>
      <c r="Z434">
        <v>0</v>
      </c>
      <c r="AA434" t="s">
        <v>70</v>
      </c>
      <c r="AB434">
        <v>37</v>
      </c>
      <c r="AC434" t="s">
        <v>19</v>
      </c>
      <c r="AD434" t="s">
        <v>19</v>
      </c>
      <c r="AE434" t="s">
        <v>19</v>
      </c>
      <c r="AF434" s="3">
        <v>42826</v>
      </c>
      <c r="AG434">
        <v>3</v>
      </c>
      <c r="AH434">
        <f t="shared" ca="1" si="20"/>
        <v>0.88263091701137231</v>
      </c>
    </row>
    <row r="435" spans="1:34">
      <c r="A435">
        <v>434</v>
      </c>
      <c r="B435" t="s">
        <v>7</v>
      </c>
      <c r="C435">
        <v>4</v>
      </c>
      <c r="D435" t="s">
        <v>135</v>
      </c>
      <c r="E435" t="s">
        <v>79</v>
      </c>
      <c r="F435">
        <v>0</v>
      </c>
      <c r="G435" t="s">
        <v>82</v>
      </c>
      <c r="H435" t="s">
        <v>82</v>
      </c>
      <c r="I435" s="2">
        <v>0.5</v>
      </c>
      <c r="J435" t="s">
        <v>82</v>
      </c>
      <c r="K435" t="s">
        <v>81</v>
      </c>
      <c r="L435" t="s">
        <v>15</v>
      </c>
      <c r="M435">
        <v>0</v>
      </c>
      <c r="N435">
        <v>4</v>
      </c>
      <c r="O435" t="s">
        <v>135</v>
      </c>
      <c r="P435" t="s">
        <v>15</v>
      </c>
      <c r="Q435" s="1" t="s">
        <v>68</v>
      </c>
      <c r="R435" t="s">
        <v>68</v>
      </c>
      <c r="S435" t="e">
        <f>IF(T435="","",INDEX('Backing 4'!U:U,MATCH(T435,'Backing 4'!T:T,0)))</f>
        <v>#N/A</v>
      </c>
      <c r="T435" t="str">
        <f t="shared" si="18"/>
        <v xml:space="preserve"> Manager &amp; Internal Services</v>
      </c>
      <c r="U435" t="e">
        <f>IF(V435="","",INDEX('Backing 4'!Z:Z,MATCH(V435,'Backing 4'!Y:Y,0)))</f>
        <v>#N/A</v>
      </c>
      <c r="V435" t="str">
        <f t="shared" si="19"/>
        <v xml:space="preserve"> Manager</v>
      </c>
      <c r="W435">
        <v>0</v>
      </c>
      <c r="X435" t="str">
        <f>IF(E435="Y","",IF(Y435="Y",INDEX('Backing 2'!B:B,MATCH(D435,'Backing 2'!C:C,0)),D435))</f>
        <v/>
      </c>
      <c r="Y435" t="s">
        <v>81</v>
      </c>
      <c r="Z435">
        <v>0</v>
      </c>
      <c r="AA435" t="s">
        <v>70</v>
      </c>
      <c r="AB435">
        <v>38</v>
      </c>
      <c r="AC435" t="s">
        <v>30</v>
      </c>
      <c r="AD435" t="s">
        <v>74</v>
      </c>
      <c r="AE435" t="s">
        <v>74</v>
      </c>
      <c r="AF435" s="3">
        <v>43922</v>
      </c>
      <c r="AG435">
        <v>0</v>
      </c>
      <c r="AH435">
        <f t="shared" ca="1" si="20"/>
        <v>0.13864302673611351</v>
      </c>
    </row>
    <row r="436" spans="1:34">
      <c r="A436">
        <v>435</v>
      </c>
      <c r="B436" t="s">
        <v>7</v>
      </c>
      <c r="C436">
        <v>4</v>
      </c>
      <c r="D436" t="s">
        <v>135</v>
      </c>
      <c r="E436" t="s">
        <v>81</v>
      </c>
      <c r="F436">
        <v>1</v>
      </c>
      <c r="G436" t="s">
        <v>80</v>
      </c>
      <c r="H436" t="s">
        <v>80</v>
      </c>
      <c r="I436" s="2">
        <v>0.5</v>
      </c>
      <c r="J436" t="s">
        <v>82</v>
      </c>
      <c r="K436" t="s">
        <v>79</v>
      </c>
      <c r="L436" t="s">
        <v>13</v>
      </c>
      <c r="M436">
        <v>0</v>
      </c>
      <c r="N436">
        <v>3</v>
      </c>
      <c r="O436" t="s">
        <v>137</v>
      </c>
      <c r="P436" t="s">
        <v>13</v>
      </c>
      <c r="Q436" s="1" t="s">
        <v>68</v>
      </c>
      <c r="R436" t="s">
        <v>68</v>
      </c>
      <c r="S436" t="e">
        <f>IF(T436="","",INDEX('Backing 4'!U:U,MATCH(T436,'Backing 4'!T:T,0)))</f>
        <v>#N/A</v>
      </c>
      <c r="T436" t="str">
        <f t="shared" si="18"/>
        <v xml:space="preserve"> Manager &amp; HR</v>
      </c>
      <c r="U436" t="e">
        <f>IF(V436="","",INDEX('Backing 4'!Z:Z,MATCH(V436,'Backing 4'!Y:Y,0)))</f>
        <v>#N/A</v>
      </c>
      <c r="V436" t="str">
        <f t="shared" si="19"/>
        <v xml:space="preserve"> Manager</v>
      </c>
      <c r="W436">
        <v>5</v>
      </c>
      <c r="X436" t="str">
        <f>IF(E436="Y","",IF(Y436="Y",INDEX('Backing 2'!B:B,MATCH(D436,'Backing 2'!C:C,0)),D436))</f>
        <v xml:space="preserve"> Manager</v>
      </c>
      <c r="Y436" t="s">
        <v>81</v>
      </c>
      <c r="Z436">
        <v>3</v>
      </c>
      <c r="AA436" t="s">
        <v>70</v>
      </c>
      <c r="AB436">
        <v>39</v>
      </c>
      <c r="AC436" t="s">
        <v>19</v>
      </c>
      <c r="AD436" t="s">
        <v>19</v>
      </c>
      <c r="AE436" t="s">
        <v>19</v>
      </c>
      <c r="AF436" s="3">
        <v>40634</v>
      </c>
      <c r="AG436">
        <v>9</v>
      </c>
      <c r="AH436">
        <f t="shared" ca="1" si="20"/>
        <v>0.65491776730177242</v>
      </c>
    </row>
    <row r="437" spans="1:34">
      <c r="A437">
        <v>436</v>
      </c>
      <c r="B437" t="s">
        <v>7</v>
      </c>
      <c r="C437">
        <v>6</v>
      </c>
      <c r="D437" t="s">
        <v>134</v>
      </c>
      <c r="E437" t="s">
        <v>81</v>
      </c>
      <c r="F437">
        <v>3</v>
      </c>
      <c r="G437" t="s">
        <v>82</v>
      </c>
      <c r="H437" t="s">
        <v>80</v>
      </c>
      <c r="I437" s="2">
        <v>0.5</v>
      </c>
      <c r="J437" t="s">
        <v>82</v>
      </c>
      <c r="K437" t="s">
        <v>79</v>
      </c>
      <c r="L437" t="s">
        <v>14</v>
      </c>
      <c r="M437">
        <v>0</v>
      </c>
      <c r="N437">
        <v>6</v>
      </c>
      <c r="O437" t="s">
        <v>134</v>
      </c>
      <c r="P437" t="s">
        <v>14</v>
      </c>
      <c r="Q437" s="1" t="s">
        <v>68</v>
      </c>
      <c r="R437" t="s">
        <v>68</v>
      </c>
      <c r="S437" t="e">
        <f>IF(T437="","",INDEX('Backing 4'!U:U,MATCH(T437,'Backing 4'!T:T,0)))</f>
        <v>#N/A</v>
      </c>
      <c r="T437" t="str">
        <f t="shared" si="18"/>
        <v xml:space="preserve"> Junior Officer &amp; Operations</v>
      </c>
      <c r="U437" t="e">
        <f>IF(V437="","",INDEX('Backing 4'!Z:Z,MATCH(V437,'Backing 4'!Y:Y,0)))</f>
        <v>#N/A</v>
      </c>
      <c r="V437" t="str">
        <f t="shared" si="19"/>
        <v xml:space="preserve"> Junior Officer</v>
      </c>
      <c r="W437">
        <v>4</v>
      </c>
      <c r="X437" t="str">
        <f>IF(E437="Y","",IF(Y437="Y",INDEX('Backing 2'!B:B,MATCH(D437,'Backing 2'!C:C,0)),D437))</f>
        <v xml:space="preserve"> Junior Officer</v>
      </c>
      <c r="Y437" t="s">
        <v>81</v>
      </c>
      <c r="Z437">
        <v>3</v>
      </c>
      <c r="AA437" t="s">
        <v>69</v>
      </c>
      <c r="AB437">
        <v>22</v>
      </c>
      <c r="AC437" t="s">
        <v>31</v>
      </c>
      <c r="AD437" t="s">
        <v>74</v>
      </c>
      <c r="AE437" t="s">
        <v>74</v>
      </c>
      <c r="AF437" s="3">
        <v>42461</v>
      </c>
      <c r="AG437">
        <v>4</v>
      </c>
      <c r="AH437">
        <f t="shared" ca="1" si="20"/>
        <v>0.1837475677724294</v>
      </c>
    </row>
    <row r="438" spans="1:34">
      <c r="A438">
        <v>437</v>
      </c>
      <c r="B438" t="s">
        <v>8</v>
      </c>
      <c r="C438">
        <v>4</v>
      </c>
      <c r="D438" t="s">
        <v>135</v>
      </c>
      <c r="E438" t="s">
        <v>81</v>
      </c>
      <c r="F438">
        <v>2</v>
      </c>
      <c r="G438" t="s">
        <v>82</v>
      </c>
      <c r="H438" t="s">
        <v>80</v>
      </c>
      <c r="I438" s="2">
        <v>0.5</v>
      </c>
      <c r="J438" t="s">
        <v>82</v>
      </c>
      <c r="K438" t="s">
        <v>79</v>
      </c>
      <c r="L438" t="s">
        <v>15</v>
      </c>
      <c r="M438">
        <v>0</v>
      </c>
      <c r="N438">
        <v>4</v>
      </c>
      <c r="O438" t="s">
        <v>135</v>
      </c>
      <c r="P438" t="s">
        <v>15</v>
      </c>
      <c r="Q438" s="1" t="s">
        <v>68</v>
      </c>
      <c r="R438" t="s">
        <v>68</v>
      </c>
      <c r="S438" t="e">
        <f>IF(T438="","",INDEX('Backing 4'!U:U,MATCH(T438,'Backing 4'!T:T,0)))</f>
        <v>#N/A</v>
      </c>
      <c r="T438" t="str">
        <f t="shared" si="18"/>
        <v xml:space="preserve"> Manager &amp; Internal Services</v>
      </c>
      <c r="U438" t="e">
        <f>IF(V438="","",INDEX('Backing 4'!Z:Z,MATCH(V438,'Backing 4'!Y:Y,0)))</f>
        <v>#N/A</v>
      </c>
      <c r="V438" t="str">
        <f t="shared" si="19"/>
        <v xml:space="preserve"> Manager</v>
      </c>
      <c r="W438">
        <v>3</v>
      </c>
      <c r="X438" t="str">
        <f>IF(E438="Y","",IF(Y438="Y",INDEX('Backing 2'!B:B,MATCH(D438,'Backing 2'!C:C,0)),D438))</f>
        <v xml:space="preserve"> Manager</v>
      </c>
      <c r="Y438" t="s">
        <v>81</v>
      </c>
      <c r="Z438">
        <v>3</v>
      </c>
      <c r="AA438" t="s">
        <v>70</v>
      </c>
      <c r="AB438">
        <v>34</v>
      </c>
      <c r="AC438" t="s">
        <v>31</v>
      </c>
      <c r="AD438" t="s">
        <v>74</v>
      </c>
      <c r="AE438" t="s">
        <v>74</v>
      </c>
      <c r="AF438" s="3">
        <v>42095</v>
      </c>
      <c r="AG438">
        <v>5</v>
      </c>
      <c r="AH438">
        <f t="shared" ca="1" si="20"/>
        <v>0.62805266882479516</v>
      </c>
    </row>
    <row r="439" spans="1:34">
      <c r="A439">
        <v>438</v>
      </c>
      <c r="B439" t="s">
        <v>8</v>
      </c>
      <c r="C439">
        <v>2</v>
      </c>
      <c r="D439" t="s">
        <v>136</v>
      </c>
      <c r="E439" t="s">
        <v>81</v>
      </c>
      <c r="F439">
        <v>3</v>
      </c>
      <c r="G439" t="s">
        <v>82</v>
      </c>
      <c r="H439" t="s">
        <v>80</v>
      </c>
      <c r="I439" s="2">
        <v>0.5</v>
      </c>
      <c r="J439" t="s">
        <v>82</v>
      </c>
      <c r="K439" t="s">
        <v>79</v>
      </c>
      <c r="L439" t="s">
        <v>14</v>
      </c>
      <c r="M439">
        <v>0</v>
      </c>
      <c r="N439">
        <v>2</v>
      </c>
      <c r="O439" t="s">
        <v>136</v>
      </c>
      <c r="P439" t="s">
        <v>14</v>
      </c>
      <c r="Q439" s="1" t="s">
        <v>68</v>
      </c>
      <c r="R439" t="s">
        <v>68</v>
      </c>
      <c r="S439" t="e">
        <f>IF(T439="","",INDEX('Backing 4'!U:U,MATCH(T439,'Backing 4'!T:T,0)))</f>
        <v>#N/A</v>
      </c>
      <c r="T439" t="str">
        <f t="shared" si="18"/>
        <v xml:space="preserve"> Director &amp; Operations</v>
      </c>
      <c r="U439" t="s">
        <v>120</v>
      </c>
      <c r="V439" t="str">
        <f t="shared" si="19"/>
        <v xml:space="preserve"> Director</v>
      </c>
      <c r="W439">
        <v>4</v>
      </c>
      <c r="X439" t="str">
        <f>IF(E439="Y","",IF(Y439="Y",INDEX('Backing 2'!B:B,MATCH(D439,'Backing 2'!C:C,0)),D439))</f>
        <v xml:space="preserve"> Director</v>
      </c>
      <c r="Y439" t="s">
        <v>81</v>
      </c>
      <c r="Z439">
        <v>2</v>
      </c>
      <c r="AA439" t="s">
        <v>70</v>
      </c>
      <c r="AB439">
        <v>36</v>
      </c>
      <c r="AC439" t="s">
        <v>31</v>
      </c>
      <c r="AD439" t="s">
        <v>74</v>
      </c>
      <c r="AE439" t="s">
        <v>74</v>
      </c>
      <c r="AF439" s="3">
        <v>40634</v>
      </c>
      <c r="AG439">
        <v>9</v>
      </c>
      <c r="AH439">
        <f t="shared" ca="1" si="20"/>
        <v>0.28954495958342708</v>
      </c>
    </row>
    <row r="440" spans="1:34">
      <c r="A440">
        <v>439</v>
      </c>
      <c r="B440" t="s">
        <v>7</v>
      </c>
      <c r="C440">
        <v>6</v>
      </c>
      <c r="D440" s="4" t="s">
        <v>134</v>
      </c>
      <c r="E440" t="s">
        <v>81</v>
      </c>
      <c r="F440">
        <v>2</v>
      </c>
      <c r="G440" t="s">
        <v>82</v>
      </c>
      <c r="H440" t="s">
        <v>82</v>
      </c>
      <c r="I440" s="2">
        <v>0.5</v>
      </c>
      <c r="J440" t="s">
        <v>80</v>
      </c>
      <c r="K440" t="s">
        <v>79</v>
      </c>
      <c r="L440" t="s">
        <v>15</v>
      </c>
      <c r="M440" t="s">
        <v>83</v>
      </c>
      <c r="N440">
        <v>0</v>
      </c>
      <c r="O440" t="s">
        <v>142</v>
      </c>
      <c r="P440" t="s">
        <v>15</v>
      </c>
      <c r="Q440" s="1" t="s">
        <v>68</v>
      </c>
      <c r="R440" t="s">
        <v>68</v>
      </c>
      <c r="S440" t="e">
        <f>IF(T440="","",INDEX('Backing 4'!U:U,MATCH(T440,'Backing 4'!T:T,0)))</f>
        <v>#N/A</v>
      </c>
      <c r="T440" t="str">
        <f t="shared" si="18"/>
        <v xml:space="preserve"> Junior Officer &amp; Internal Services</v>
      </c>
      <c r="U440" t="e">
        <f>IF(V440="","",INDEX('Backing 4'!Z:Z,MATCH(V440,'Backing 4'!Y:Y,0)))</f>
        <v>#N/A</v>
      </c>
      <c r="V440" t="str">
        <f t="shared" si="19"/>
        <v xml:space="preserve"> Junior Officer</v>
      </c>
      <c r="W440">
        <v>3</v>
      </c>
      <c r="X440" t="str">
        <f>IF(E440="Y","",IF(Y440="Y",INDEX('Backing 2'!B:B,MATCH(D440,'Backing 2'!C:C,0)),D440))</f>
        <v xml:space="preserve"> Junior Officer</v>
      </c>
      <c r="Y440" t="s">
        <v>81</v>
      </c>
      <c r="Z440">
        <v>3</v>
      </c>
      <c r="AA440" t="s">
        <v>70</v>
      </c>
      <c r="AB440">
        <v>30</v>
      </c>
      <c r="AC440" t="s">
        <v>19</v>
      </c>
      <c r="AD440" t="s">
        <v>19</v>
      </c>
      <c r="AE440" t="s">
        <v>19</v>
      </c>
      <c r="AF440" s="3">
        <v>42826</v>
      </c>
      <c r="AG440">
        <v>3</v>
      </c>
      <c r="AH440">
        <f t="shared" ca="1" si="20"/>
        <v>0.56901544928608383</v>
      </c>
    </row>
    <row r="441" spans="1:34">
      <c r="A441">
        <v>440</v>
      </c>
      <c r="B441" t="s">
        <v>8</v>
      </c>
      <c r="C441">
        <v>4</v>
      </c>
      <c r="D441" t="s">
        <v>135</v>
      </c>
      <c r="E441" t="s">
        <v>81</v>
      </c>
      <c r="F441">
        <v>2</v>
      </c>
      <c r="G441" t="s">
        <v>80</v>
      </c>
      <c r="H441" t="s">
        <v>80</v>
      </c>
      <c r="I441" s="2">
        <v>0.5</v>
      </c>
      <c r="J441" t="s">
        <v>82</v>
      </c>
      <c r="K441" t="s">
        <v>79</v>
      </c>
      <c r="L441" t="s">
        <v>15</v>
      </c>
      <c r="M441">
        <v>0</v>
      </c>
      <c r="N441">
        <v>3</v>
      </c>
      <c r="O441" t="s">
        <v>137</v>
      </c>
      <c r="P441" t="s">
        <v>15</v>
      </c>
      <c r="Q441" s="1" t="s">
        <v>68</v>
      </c>
      <c r="R441" t="s">
        <v>68</v>
      </c>
      <c r="S441" t="e">
        <f>IF(T441="","",INDEX('Backing 4'!U:U,MATCH(T441,'Backing 4'!T:T,0)))</f>
        <v>#N/A</v>
      </c>
      <c r="T441" t="str">
        <f t="shared" si="18"/>
        <v xml:space="preserve"> Manager &amp; Internal Services</v>
      </c>
      <c r="U441" t="e">
        <f>IF(V441="","",INDEX('Backing 4'!Z:Z,MATCH(V441,'Backing 4'!Y:Y,0)))</f>
        <v>#N/A</v>
      </c>
      <c r="V441" t="str">
        <f t="shared" si="19"/>
        <v xml:space="preserve"> Manager</v>
      </c>
      <c r="W441">
        <v>1</v>
      </c>
      <c r="X441" t="e">
        <f>IF(E441="Y","",IF(Y441="Y",INDEX('Backing 2'!B:B,MATCH(D441,'Backing 2'!C:C,0)),D441))</f>
        <v>#N/A</v>
      </c>
      <c r="Y441" t="s">
        <v>79</v>
      </c>
      <c r="Z441">
        <v>1</v>
      </c>
      <c r="AA441" t="s">
        <v>71</v>
      </c>
      <c r="AB441">
        <v>42</v>
      </c>
      <c r="AC441" t="s">
        <v>26</v>
      </c>
      <c r="AD441" t="s">
        <v>74</v>
      </c>
      <c r="AE441" t="s">
        <v>74</v>
      </c>
      <c r="AF441" s="3">
        <v>42461</v>
      </c>
      <c r="AG441">
        <v>4</v>
      </c>
      <c r="AH441">
        <f t="shared" ca="1" si="20"/>
        <v>0.10495795861502699</v>
      </c>
    </row>
    <row r="442" spans="1:34">
      <c r="A442">
        <v>441</v>
      </c>
      <c r="B442" t="s">
        <v>7</v>
      </c>
      <c r="C442">
        <v>6</v>
      </c>
      <c r="D442" t="s">
        <v>134</v>
      </c>
      <c r="E442" t="s">
        <v>79</v>
      </c>
      <c r="F442">
        <v>0</v>
      </c>
      <c r="G442" t="s">
        <v>82</v>
      </c>
      <c r="H442" t="s">
        <v>82</v>
      </c>
      <c r="I442" s="2">
        <v>0.5</v>
      </c>
      <c r="J442" t="s">
        <v>82</v>
      </c>
      <c r="K442" t="s">
        <v>81</v>
      </c>
      <c r="L442" t="s">
        <v>16</v>
      </c>
      <c r="M442">
        <v>0</v>
      </c>
      <c r="N442">
        <v>6</v>
      </c>
      <c r="O442" t="s">
        <v>134</v>
      </c>
      <c r="P442" t="s">
        <v>16</v>
      </c>
      <c r="Q442" s="1" t="s">
        <v>68</v>
      </c>
      <c r="R442" t="s">
        <v>68</v>
      </c>
      <c r="S442" t="e">
        <f>IF(T442="","",INDEX('Backing 4'!U:U,MATCH(T442,'Backing 4'!T:T,0)))</f>
        <v>#N/A</v>
      </c>
      <c r="T442" t="str">
        <f t="shared" si="18"/>
        <v xml:space="preserve"> Junior Officer &amp; Sales &amp; Marketing</v>
      </c>
      <c r="U442" t="e">
        <f>IF(V442="","",INDEX('Backing 4'!Z:Z,MATCH(V442,'Backing 4'!Y:Y,0)))</f>
        <v>#N/A</v>
      </c>
      <c r="V442" t="str">
        <f t="shared" si="19"/>
        <v xml:space="preserve"> Junior Officer</v>
      </c>
      <c r="W442">
        <v>0</v>
      </c>
      <c r="X442" t="str">
        <f>IF(E442="Y","",IF(Y442="Y",INDEX('Backing 2'!B:B,MATCH(D442,'Backing 2'!C:C,0)),D442))</f>
        <v/>
      </c>
      <c r="Y442" t="s">
        <v>81</v>
      </c>
      <c r="Z442">
        <v>0</v>
      </c>
      <c r="AA442" t="s">
        <v>69</v>
      </c>
      <c r="AB442">
        <v>28</v>
      </c>
      <c r="AC442" t="s">
        <v>31</v>
      </c>
      <c r="AD442" t="s">
        <v>74</v>
      </c>
      <c r="AE442" t="s">
        <v>74</v>
      </c>
      <c r="AF442" s="3">
        <v>43922</v>
      </c>
      <c r="AG442">
        <v>0</v>
      </c>
      <c r="AH442">
        <f t="shared" ca="1" si="20"/>
        <v>0.59832322641297997</v>
      </c>
    </row>
    <row r="443" spans="1:34">
      <c r="A443">
        <v>442</v>
      </c>
      <c r="B443" t="s">
        <v>7</v>
      </c>
      <c r="C443">
        <v>5</v>
      </c>
      <c r="D443" t="s">
        <v>138</v>
      </c>
      <c r="E443" t="s">
        <v>81</v>
      </c>
      <c r="F443">
        <v>2</v>
      </c>
      <c r="G443" t="s">
        <v>80</v>
      </c>
      <c r="H443" t="s">
        <v>80</v>
      </c>
      <c r="I443" s="2">
        <v>0.5</v>
      </c>
      <c r="J443" t="s">
        <v>82</v>
      </c>
      <c r="K443" t="s">
        <v>79</v>
      </c>
      <c r="L443" t="s">
        <v>14</v>
      </c>
      <c r="M443">
        <v>0</v>
      </c>
      <c r="N443">
        <v>4</v>
      </c>
      <c r="O443" t="s">
        <v>135</v>
      </c>
      <c r="P443" t="s">
        <v>14</v>
      </c>
      <c r="Q443" s="1" t="s">
        <v>68</v>
      </c>
      <c r="R443" t="s">
        <v>68</v>
      </c>
      <c r="S443" t="e">
        <f>IF(T443="","",INDEX('Backing 4'!U:U,MATCH(T443,'Backing 4'!T:T,0)))</f>
        <v>#N/A</v>
      </c>
      <c r="T443" t="str">
        <f t="shared" si="18"/>
        <v xml:space="preserve"> Senior Officer &amp; Operations</v>
      </c>
      <c r="U443" t="e">
        <f>IF(V443="","",INDEX('Backing 4'!Z:Z,MATCH(V443,'Backing 4'!Y:Y,0)))</f>
        <v>#N/A</v>
      </c>
      <c r="V443" t="str">
        <f t="shared" si="19"/>
        <v xml:space="preserve"> Senior Officer</v>
      </c>
      <c r="W443">
        <v>4</v>
      </c>
      <c r="X443" t="str">
        <f>IF(E443="Y","",IF(Y443="Y",INDEX('Backing 2'!B:B,MATCH(D443,'Backing 2'!C:C,0)),D443))</f>
        <v xml:space="preserve"> Senior Officer</v>
      </c>
      <c r="Y443" t="s">
        <v>81</v>
      </c>
      <c r="Z443">
        <v>2</v>
      </c>
      <c r="AA443" t="s">
        <v>71</v>
      </c>
      <c r="AB443">
        <v>42</v>
      </c>
      <c r="AC443" t="s">
        <v>30</v>
      </c>
      <c r="AD443" t="s">
        <v>74</v>
      </c>
      <c r="AE443" t="s">
        <v>74</v>
      </c>
      <c r="AF443" s="3">
        <v>40634</v>
      </c>
      <c r="AG443">
        <v>9</v>
      </c>
      <c r="AH443">
        <f t="shared" ca="1" si="20"/>
        <v>0.96861042549716236</v>
      </c>
    </row>
    <row r="444" spans="1:34">
      <c r="A444">
        <v>443</v>
      </c>
      <c r="B444" t="s">
        <v>8</v>
      </c>
      <c r="C444">
        <v>6</v>
      </c>
      <c r="D444" t="s">
        <v>134</v>
      </c>
      <c r="E444" t="s">
        <v>81</v>
      </c>
      <c r="F444">
        <v>3</v>
      </c>
      <c r="G444" t="s">
        <v>82</v>
      </c>
      <c r="H444" t="s">
        <v>80</v>
      </c>
      <c r="I444" s="2">
        <v>0.5</v>
      </c>
      <c r="J444" t="s">
        <v>82</v>
      </c>
      <c r="K444" t="s">
        <v>79</v>
      </c>
      <c r="L444" t="s">
        <v>14</v>
      </c>
      <c r="M444">
        <v>0</v>
      </c>
      <c r="N444">
        <v>6</v>
      </c>
      <c r="O444" t="s">
        <v>134</v>
      </c>
      <c r="P444" t="s">
        <v>14</v>
      </c>
      <c r="Q444" s="1" t="s">
        <v>68</v>
      </c>
      <c r="R444" t="s">
        <v>68</v>
      </c>
      <c r="S444" t="e">
        <f>IF(T444="","",INDEX('Backing 4'!U:U,MATCH(T444,'Backing 4'!T:T,0)))</f>
        <v>#N/A</v>
      </c>
      <c r="T444" t="str">
        <f t="shared" si="18"/>
        <v xml:space="preserve"> Junior Officer &amp; Operations</v>
      </c>
      <c r="U444" t="e">
        <f>IF(V444="","",INDEX('Backing 4'!Z:Z,MATCH(V444,'Backing 4'!Y:Y,0)))</f>
        <v>#N/A</v>
      </c>
      <c r="V444" t="str">
        <f t="shared" si="19"/>
        <v xml:space="preserve"> Junior Officer</v>
      </c>
      <c r="W444">
        <v>2</v>
      </c>
      <c r="X444" t="str">
        <f>IF(E444="Y","",IF(Y444="Y",INDEX('Backing 2'!B:B,MATCH(D444,'Backing 2'!C:C,0)),D444))</f>
        <v xml:space="preserve"> Junior Officer</v>
      </c>
      <c r="Y444" t="s">
        <v>81</v>
      </c>
      <c r="Z444">
        <v>2</v>
      </c>
      <c r="AA444" t="s">
        <v>69</v>
      </c>
      <c r="AB444">
        <v>21</v>
      </c>
      <c r="AC444" t="s">
        <v>31</v>
      </c>
      <c r="AD444" t="s">
        <v>74</v>
      </c>
      <c r="AE444" t="s">
        <v>74</v>
      </c>
      <c r="AF444" s="3">
        <v>43191</v>
      </c>
      <c r="AG444">
        <v>2</v>
      </c>
      <c r="AH444">
        <f t="shared" ca="1" si="20"/>
        <v>0.16444414382408101</v>
      </c>
    </row>
    <row r="445" spans="1:34">
      <c r="A445">
        <v>444</v>
      </c>
      <c r="B445" t="s">
        <v>8</v>
      </c>
      <c r="C445">
        <v>5</v>
      </c>
      <c r="D445" t="s">
        <v>138</v>
      </c>
      <c r="E445" t="s">
        <v>81</v>
      </c>
      <c r="F445">
        <v>3</v>
      </c>
      <c r="G445" t="s">
        <v>82</v>
      </c>
      <c r="H445" t="s">
        <v>80</v>
      </c>
      <c r="I445" s="2">
        <v>0.5</v>
      </c>
      <c r="J445" t="s">
        <v>82</v>
      </c>
      <c r="K445" t="s">
        <v>79</v>
      </c>
      <c r="L445" t="s">
        <v>16</v>
      </c>
      <c r="M445">
        <v>0</v>
      </c>
      <c r="N445">
        <v>5</v>
      </c>
      <c r="O445" t="s">
        <v>138</v>
      </c>
      <c r="P445" t="s">
        <v>16</v>
      </c>
      <c r="Q445" s="1" t="s">
        <v>68</v>
      </c>
      <c r="R445" t="s">
        <v>68</v>
      </c>
      <c r="S445" t="e">
        <f>IF(T445="","",INDEX('Backing 4'!U:U,MATCH(T445,'Backing 4'!T:T,0)))</f>
        <v>#N/A</v>
      </c>
      <c r="T445" t="str">
        <f t="shared" si="18"/>
        <v xml:space="preserve"> Senior Officer &amp; Sales &amp; Marketing</v>
      </c>
      <c r="U445" t="e">
        <f>IF(V445="","",INDEX('Backing 4'!Z:Z,MATCH(V445,'Backing 4'!Y:Y,0)))</f>
        <v>#N/A</v>
      </c>
      <c r="V445" t="str">
        <f t="shared" si="19"/>
        <v xml:space="preserve"> Senior Officer</v>
      </c>
      <c r="W445">
        <v>1</v>
      </c>
      <c r="X445" t="e">
        <f>IF(E445="Y","",IF(Y445="Y",INDEX('Backing 2'!B:B,MATCH(D445,'Backing 2'!C:C,0)),D445))</f>
        <v>#N/A</v>
      </c>
      <c r="Y445" t="s">
        <v>79</v>
      </c>
      <c r="Z445">
        <v>2</v>
      </c>
      <c r="AA445" t="s">
        <v>69</v>
      </c>
      <c r="AB445">
        <v>24</v>
      </c>
      <c r="AC445" t="s">
        <v>19</v>
      </c>
      <c r="AD445" t="s">
        <v>19</v>
      </c>
      <c r="AE445" t="s">
        <v>19</v>
      </c>
      <c r="AF445" s="3">
        <v>42095</v>
      </c>
      <c r="AG445">
        <v>5</v>
      </c>
      <c r="AH445">
        <f t="shared" ca="1" si="20"/>
        <v>0.8912871566334839</v>
      </c>
    </row>
    <row r="446" spans="1:34">
      <c r="A446">
        <v>445</v>
      </c>
      <c r="B446" t="s">
        <v>8</v>
      </c>
      <c r="C446">
        <v>4</v>
      </c>
      <c r="D446" t="s">
        <v>135</v>
      </c>
      <c r="E446" t="s">
        <v>81</v>
      </c>
      <c r="F446">
        <v>2</v>
      </c>
      <c r="G446" t="s">
        <v>82</v>
      </c>
      <c r="H446" t="s">
        <v>80</v>
      </c>
      <c r="I446" s="2">
        <v>0.5</v>
      </c>
      <c r="J446" t="s">
        <v>82</v>
      </c>
      <c r="K446" t="s">
        <v>79</v>
      </c>
      <c r="L446" t="s">
        <v>15</v>
      </c>
      <c r="M446">
        <v>0</v>
      </c>
      <c r="N446">
        <v>4</v>
      </c>
      <c r="O446" t="s">
        <v>135</v>
      </c>
      <c r="P446" t="s">
        <v>15</v>
      </c>
      <c r="Q446" s="1" t="s">
        <v>68</v>
      </c>
      <c r="R446" t="s">
        <v>68</v>
      </c>
      <c r="S446" t="e">
        <f>IF(T446="","",INDEX('Backing 4'!U:U,MATCH(T446,'Backing 4'!T:T,0)))</f>
        <v>#N/A</v>
      </c>
      <c r="T446" t="str">
        <f t="shared" si="18"/>
        <v xml:space="preserve"> Manager &amp; Internal Services</v>
      </c>
      <c r="U446" t="e">
        <f>IF(V446="","",INDEX('Backing 4'!Z:Z,MATCH(V446,'Backing 4'!Y:Y,0)))</f>
        <v>#N/A</v>
      </c>
      <c r="V446" t="str">
        <f t="shared" si="19"/>
        <v xml:space="preserve"> Manager</v>
      </c>
      <c r="W446">
        <v>3</v>
      </c>
      <c r="X446" t="str">
        <f>IF(E446="Y","",IF(Y446="Y",INDEX('Backing 2'!B:B,MATCH(D446,'Backing 2'!C:C,0)),D446))</f>
        <v xml:space="preserve"> Manager</v>
      </c>
      <c r="Y446" t="s">
        <v>81</v>
      </c>
      <c r="Z446">
        <v>3</v>
      </c>
      <c r="AA446" t="s">
        <v>70</v>
      </c>
      <c r="AB446">
        <v>34</v>
      </c>
      <c r="AC446" t="s">
        <v>19</v>
      </c>
      <c r="AD446" t="s">
        <v>19</v>
      </c>
      <c r="AE446" t="s">
        <v>19</v>
      </c>
      <c r="AF446" s="3">
        <v>41000</v>
      </c>
      <c r="AG446">
        <v>8</v>
      </c>
      <c r="AH446">
        <f t="shared" ca="1" si="20"/>
        <v>0.22028906534516379</v>
      </c>
    </row>
    <row r="447" spans="1:34">
      <c r="A447">
        <v>446</v>
      </c>
      <c r="B447" t="s">
        <v>8</v>
      </c>
      <c r="C447">
        <v>2</v>
      </c>
      <c r="D447" t="s">
        <v>136</v>
      </c>
      <c r="E447" t="s">
        <v>81</v>
      </c>
      <c r="F447">
        <v>2</v>
      </c>
      <c r="G447" t="s">
        <v>82</v>
      </c>
      <c r="H447" t="s">
        <v>80</v>
      </c>
      <c r="I447" s="2">
        <v>0.5</v>
      </c>
      <c r="J447" t="s">
        <v>82</v>
      </c>
      <c r="K447" t="s">
        <v>79</v>
      </c>
      <c r="L447" t="s">
        <v>16</v>
      </c>
      <c r="M447">
        <v>0</v>
      </c>
      <c r="N447">
        <v>2</v>
      </c>
      <c r="O447" t="s">
        <v>136</v>
      </c>
      <c r="P447" t="s">
        <v>16</v>
      </c>
      <c r="Q447" s="1" t="s">
        <v>68</v>
      </c>
      <c r="R447" t="s">
        <v>68</v>
      </c>
      <c r="S447" t="e">
        <f>IF(T447="","",INDEX('Backing 4'!U:U,MATCH(T447,'Backing 4'!T:T,0)))</f>
        <v>#N/A</v>
      </c>
      <c r="T447" t="str">
        <f t="shared" si="18"/>
        <v xml:space="preserve"> Director &amp; Sales &amp; Marketing</v>
      </c>
      <c r="U447" t="s">
        <v>120</v>
      </c>
      <c r="V447" t="str">
        <f t="shared" si="19"/>
        <v xml:space="preserve"> Director</v>
      </c>
      <c r="W447">
        <v>6</v>
      </c>
      <c r="X447" t="str">
        <f>IF(E447="Y","",IF(Y447="Y",INDEX('Backing 2'!B:B,MATCH(D447,'Backing 2'!C:C,0)),D447))</f>
        <v xml:space="preserve"> Director</v>
      </c>
      <c r="Y447" t="s">
        <v>81</v>
      </c>
      <c r="Z447">
        <v>2</v>
      </c>
      <c r="AA447" t="s">
        <v>71</v>
      </c>
      <c r="AB447">
        <v>41</v>
      </c>
      <c r="AC447" t="s">
        <v>19</v>
      </c>
      <c r="AD447" t="s">
        <v>19</v>
      </c>
      <c r="AE447" t="s">
        <v>19</v>
      </c>
      <c r="AF447" s="3">
        <v>41730</v>
      </c>
      <c r="AG447">
        <v>6</v>
      </c>
      <c r="AH447">
        <f t="shared" ca="1" si="20"/>
        <v>0.88781904240202758</v>
      </c>
    </row>
    <row r="448" spans="1:34">
      <c r="A448">
        <v>447</v>
      </c>
      <c r="B448" t="s">
        <v>7</v>
      </c>
      <c r="C448">
        <v>6</v>
      </c>
      <c r="D448" t="s">
        <v>134</v>
      </c>
      <c r="E448" t="s">
        <v>81</v>
      </c>
      <c r="F448">
        <v>2</v>
      </c>
      <c r="G448" t="s">
        <v>82</v>
      </c>
      <c r="H448" t="s">
        <v>80</v>
      </c>
      <c r="I448" s="2">
        <v>0.5</v>
      </c>
      <c r="J448" t="s">
        <v>82</v>
      </c>
      <c r="K448" t="s">
        <v>79</v>
      </c>
      <c r="L448" t="s">
        <v>16</v>
      </c>
      <c r="M448">
        <v>0</v>
      </c>
      <c r="N448">
        <v>6</v>
      </c>
      <c r="O448" t="s">
        <v>134</v>
      </c>
      <c r="P448" t="s">
        <v>16</v>
      </c>
      <c r="Q448" s="1" t="s">
        <v>68</v>
      </c>
      <c r="R448" t="s">
        <v>68</v>
      </c>
      <c r="S448" t="e">
        <f>IF(T448="","",INDEX('Backing 4'!U:U,MATCH(T448,'Backing 4'!T:T,0)))</f>
        <v>#N/A</v>
      </c>
      <c r="T448" t="str">
        <f t="shared" si="18"/>
        <v xml:space="preserve"> Junior Officer &amp; Sales &amp; Marketing</v>
      </c>
      <c r="U448" t="e">
        <f>IF(V448="","",INDEX('Backing 4'!Z:Z,MATCH(V448,'Backing 4'!Y:Y,0)))</f>
        <v>#N/A</v>
      </c>
      <c r="V448" t="str">
        <f t="shared" si="19"/>
        <v xml:space="preserve"> Junior Officer</v>
      </c>
      <c r="W448">
        <v>3</v>
      </c>
      <c r="X448" t="str">
        <f>IF(E448="Y","",IF(Y448="Y",INDEX('Backing 2'!B:B,MATCH(D448,'Backing 2'!C:C,0)),D448))</f>
        <v xml:space="preserve"> Junior Officer</v>
      </c>
      <c r="Y448" t="s">
        <v>81</v>
      </c>
      <c r="Z448">
        <v>2</v>
      </c>
      <c r="AA448" t="s">
        <v>69</v>
      </c>
      <c r="AB448">
        <v>24</v>
      </c>
      <c r="AC448" t="s">
        <v>19</v>
      </c>
      <c r="AD448" t="s">
        <v>19</v>
      </c>
      <c r="AE448" t="s">
        <v>19</v>
      </c>
      <c r="AF448" s="3">
        <v>42826</v>
      </c>
      <c r="AG448">
        <v>3</v>
      </c>
      <c r="AH448">
        <f t="shared" ca="1" si="20"/>
        <v>2.0429208860857639E-2</v>
      </c>
    </row>
    <row r="449" spans="1:34">
      <c r="A449">
        <v>448</v>
      </c>
      <c r="B449" t="s">
        <v>8</v>
      </c>
      <c r="C449">
        <v>3</v>
      </c>
      <c r="D449" t="s">
        <v>137</v>
      </c>
      <c r="E449" t="s">
        <v>81</v>
      </c>
      <c r="F449">
        <v>2</v>
      </c>
      <c r="G449" t="s">
        <v>82</v>
      </c>
      <c r="H449" t="s">
        <v>80</v>
      </c>
      <c r="I449" s="2">
        <v>0.5</v>
      </c>
      <c r="J449" t="s">
        <v>82</v>
      </c>
      <c r="K449" t="s">
        <v>79</v>
      </c>
      <c r="L449" t="s">
        <v>14</v>
      </c>
      <c r="M449">
        <v>0</v>
      </c>
      <c r="N449">
        <v>3</v>
      </c>
      <c r="O449" t="s">
        <v>137</v>
      </c>
      <c r="P449" t="s">
        <v>14</v>
      </c>
      <c r="Q449" s="1" t="s">
        <v>68</v>
      </c>
      <c r="R449" t="s">
        <v>68</v>
      </c>
      <c r="S449" t="e">
        <f>IF(T449="","",INDEX('Backing 4'!U:U,MATCH(T449,'Backing 4'!T:T,0)))</f>
        <v>#N/A</v>
      </c>
      <c r="T449" t="str">
        <f t="shared" si="18"/>
        <v xml:space="preserve"> Senior Manager &amp; Operations</v>
      </c>
      <c r="U449" t="e">
        <f>IF(V449="","",INDEX('Backing 4'!Z:Z,MATCH(V449,'Backing 4'!Y:Y,0)))</f>
        <v>#N/A</v>
      </c>
      <c r="V449" t="str">
        <f t="shared" si="19"/>
        <v xml:space="preserve"> Senior Manager</v>
      </c>
      <c r="W449">
        <v>3</v>
      </c>
      <c r="X449" t="str">
        <f>IF(E449="Y","",IF(Y449="Y",INDEX('Backing 2'!B:B,MATCH(D449,'Backing 2'!C:C,0)),D449))</f>
        <v xml:space="preserve"> Senior Manager</v>
      </c>
      <c r="Y449" t="s">
        <v>81</v>
      </c>
      <c r="Z449">
        <v>3</v>
      </c>
      <c r="AA449" t="s">
        <v>70</v>
      </c>
      <c r="AB449">
        <v>33</v>
      </c>
      <c r="AC449" t="s">
        <v>19</v>
      </c>
      <c r="AD449" t="s">
        <v>19</v>
      </c>
      <c r="AE449" t="s">
        <v>19</v>
      </c>
      <c r="AF449" s="3">
        <v>42095</v>
      </c>
      <c r="AG449">
        <v>5</v>
      </c>
      <c r="AH449">
        <f t="shared" ca="1" si="20"/>
        <v>0.25594187658149481</v>
      </c>
    </row>
    <row r="450" spans="1:34">
      <c r="A450">
        <v>449</v>
      </c>
      <c r="B450" t="s">
        <v>8</v>
      </c>
      <c r="C450">
        <v>6</v>
      </c>
      <c r="D450" t="s">
        <v>134</v>
      </c>
      <c r="E450" t="s">
        <v>81</v>
      </c>
      <c r="F450">
        <v>2</v>
      </c>
      <c r="G450" t="s">
        <v>82</v>
      </c>
      <c r="H450" t="s">
        <v>80</v>
      </c>
      <c r="I450" s="2">
        <v>0.5</v>
      </c>
      <c r="J450" t="s">
        <v>82</v>
      </c>
      <c r="K450" t="s">
        <v>79</v>
      </c>
      <c r="L450" t="s">
        <v>14</v>
      </c>
      <c r="M450">
        <v>0</v>
      </c>
      <c r="N450">
        <v>6</v>
      </c>
      <c r="O450" t="s">
        <v>134</v>
      </c>
      <c r="P450" t="s">
        <v>14</v>
      </c>
      <c r="Q450" s="1" t="s">
        <v>68</v>
      </c>
      <c r="R450" t="s">
        <v>68</v>
      </c>
      <c r="S450" t="e">
        <f>IF(T450="","",INDEX('Backing 4'!U:U,MATCH(T450,'Backing 4'!T:T,0)))</f>
        <v>#N/A</v>
      </c>
      <c r="T450" t="str">
        <f t="shared" ref="T450:T501" si="21">IF(O450="","",IF(D450="1 - Executive","",D450&amp;" &amp; "&amp;P450))</f>
        <v xml:space="preserve"> Junior Officer &amp; Operations</v>
      </c>
      <c r="U450" t="e">
        <f>IF(V450="","",INDEX('Backing 4'!Z:Z,MATCH(V450,'Backing 4'!Y:Y,0)))</f>
        <v>#N/A</v>
      </c>
      <c r="V450" t="str">
        <f t="shared" ref="V450:V501" si="22">IF(O450="","",IF(D450="1 - Executive","",D450))</f>
        <v xml:space="preserve"> Junior Officer</v>
      </c>
      <c r="W450">
        <v>3</v>
      </c>
      <c r="X450" t="str">
        <f>IF(E450="Y","",IF(Y450="Y",INDEX('Backing 2'!B:B,MATCH(D450,'Backing 2'!C:C,0)),D450))</f>
        <v xml:space="preserve"> Junior Officer</v>
      </c>
      <c r="Y450" t="s">
        <v>81</v>
      </c>
      <c r="Z450">
        <v>3</v>
      </c>
      <c r="AA450" t="s">
        <v>129</v>
      </c>
      <c r="AB450">
        <v>19</v>
      </c>
      <c r="AC450" t="s">
        <v>19</v>
      </c>
      <c r="AD450" t="s">
        <v>19</v>
      </c>
      <c r="AE450" t="s">
        <v>19</v>
      </c>
      <c r="AF450" s="3">
        <v>42826</v>
      </c>
      <c r="AG450">
        <v>3</v>
      </c>
      <c r="AH450">
        <f t="shared" ref="AH450:AH501" ca="1" si="23">RAND()</f>
        <v>0.11717313356527825</v>
      </c>
    </row>
    <row r="451" spans="1:34">
      <c r="A451">
        <v>450</v>
      </c>
      <c r="B451" t="s">
        <v>8</v>
      </c>
      <c r="C451">
        <v>5</v>
      </c>
      <c r="D451" t="s">
        <v>138</v>
      </c>
      <c r="E451" t="s">
        <v>81</v>
      </c>
      <c r="F451">
        <v>2</v>
      </c>
      <c r="G451" t="s">
        <v>82</v>
      </c>
      <c r="H451" t="s">
        <v>80</v>
      </c>
      <c r="I451" s="2">
        <v>0.5</v>
      </c>
      <c r="J451" t="s">
        <v>82</v>
      </c>
      <c r="K451" t="s">
        <v>79</v>
      </c>
      <c r="L451" t="s">
        <v>14</v>
      </c>
      <c r="M451">
        <v>0</v>
      </c>
      <c r="N451">
        <v>5</v>
      </c>
      <c r="O451" t="s">
        <v>138</v>
      </c>
      <c r="P451" t="s">
        <v>14</v>
      </c>
      <c r="Q451" s="1" t="s">
        <v>68</v>
      </c>
      <c r="R451" t="s">
        <v>68</v>
      </c>
      <c r="S451" t="e">
        <f>IF(T451="","",INDEX('Backing 4'!U:U,MATCH(T451,'Backing 4'!T:T,0)))</f>
        <v>#N/A</v>
      </c>
      <c r="T451" t="str">
        <f t="shared" si="21"/>
        <v xml:space="preserve"> Senior Officer &amp; Operations</v>
      </c>
      <c r="U451" t="e">
        <f>IF(V451="","",INDEX('Backing 4'!Z:Z,MATCH(V451,'Backing 4'!Y:Y,0)))</f>
        <v>#N/A</v>
      </c>
      <c r="V451" t="str">
        <f t="shared" si="22"/>
        <v xml:space="preserve"> Senior Officer</v>
      </c>
      <c r="W451">
        <v>3</v>
      </c>
      <c r="X451" t="str">
        <f>IF(E451="Y","",IF(Y451="Y",INDEX('Backing 2'!B:B,MATCH(D451,'Backing 2'!C:C,0)),D451))</f>
        <v xml:space="preserve"> Senior Officer</v>
      </c>
      <c r="Y451" t="s">
        <v>81</v>
      </c>
      <c r="Z451">
        <v>2</v>
      </c>
      <c r="AA451" t="s">
        <v>70</v>
      </c>
      <c r="AB451">
        <v>30</v>
      </c>
      <c r="AC451" t="s">
        <v>19</v>
      </c>
      <c r="AD451" t="s">
        <v>19</v>
      </c>
      <c r="AE451" t="s">
        <v>19</v>
      </c>
      <c r="AF451" s="3">
        <v>41365</v>
      </c>
      <c r="AG451">
        <v>7</v>
      </c>
      <c r="AH451">
        <f t="shared" ca="1" si="23"/>
        <v>0.62587179346584965</v>
      </c>
    </row>
    <row r="452" spans="1:34">
      <c r="A452">
        <v>451</v>
      </c>
      <c r="B452" t="s">
        <v>8</v>
      </c>
      <c r="C452">
        <v>5</v>
      </c>
      <c r="D452" t="s">
        <v>138</v>
      </c>
      <c r="E452" t="s">
        <v>81</v>
      </c>
      <c r="F452">
        <v>2</v>
      </c>
      <c r="G452" t="s">
        <v>82</v>
      </c>
      <c r="H452" t="s">
        <v>80</v>
      </c>
      <c r="I452" s="2">
        <v>0.5</v>
      </c>
      <c r="J452" t="s">
        <v>82</v>
      </c>
      <c r="K452" t="s">
        <v>79</v>
      </c>
      <c r="L452" t="s">
        <v>16</v>
      </c>
      <c r="M452">
        <v>0</v>
      </c>
      <c r="N452">
        <v>5</v>
      </c>
      <c r="O452" t="s">
        <v>138</v>
      </c>
      <c r="P452" t="s">
        <v>16</v>
      </c>
      <c r="Q452" s="1" t="s">
        <v>68</v>
      </c>
      <c r="R452" t="s">
        <v>68</v>
      </c>
      <c r="S452" t="e">
        <f>IF(T452="","",INDEX('Backing 4'!U:U,MATCH(T452,'Backing 4'!T:T,0)))</f>
        <v>#N/A</v>
      </c>
      <c r="T452" t="str">
        <f t="shared" si="21"/>
        <v xml:space="preserve"> Senior Officer &amp; Sales &amp; Marketing</v>
      </c>
      <c r="U452" t="e">
        <f>IF(V452="","",INDEX('Backing 4'!Z:Z,MATCH(V452,'Backing 4'!Y:Y,0)))</f>
        <v>#N/A</v>
      </c>
      <c r="V452" t="str">
        <f t="shared" si="22"/>
        <v xml:space="preserve"> Senior Officer</v>
      </c>
      <c r="W452">
        <v>2</v>
      </c>
      <c r="X452" t="str">
        <f>IF(E452="Y","",IF(Y452="Y",INDEX('Backing 2'!B:B,MATCH(D452,'Backing 2'!C:C,0)),D452))</f>
        <v xml:space="preserve"> Senior Officer</v>
      </c>
      <c r="Y452" t="s">
        <v>81</v>
      </c>
      <c r="Z452">
        <v>0</v>
      </c>
      <c r="AA452" t="s">
        <v>69</v>
      </c>
      <c r="AB452">
        <v>25</v>
      </c>
      <c r="AC452" t="s">
        <v>31</v>
      </c>
      <c r="AD452" t="s">
        <v>74</v>
      </c>
      <c r="AE452" t="s">
        <v>74</v>
      </c>
      <c r="AF452" s="3">
        <v>43191</v>
      </c>
      <c r="AG452">
        <v>2</v>
      </c>
      <c r="AH452">
        <f t="shared" ca="1" si="23"/>
        <v>0.13533428793609847</v>
      </c>
    </row>
    <row r="453" spans="1:34">
      <c r="A453">
        <v>452</v>
      </c>
      <c r="B453" t="s">
        <v>7</v>
      </c>
      <c r="C453">
        <v>6</v>
      </c>
      <c r="D453" t="s">
        <v>134</v>
      </c>
      <c r="E453" t="s">
        <v>81</v>
      </c>
      <c r="F453">
        <v>2</v>
      </c>
      <c r="G453" t="s">
        <v>82</v>
      </c>
      <c r="H453" t="s">
        <v>80</v>
      </c>
      <c r="I453" s="2">
        <v>0.5</v>
      </c>
      <c r="J453" t="s">
        <v>82</v>
      </c>
      <c r="K453" t="s">
        <v>79</v>
      </c>
      <c r="L453" t="s">
        <v>14</v>
      </c>
      <c r="M453">
        <v>0</v>
      </c>
      <c r="N453">
        <v>6</v>
      </c>
      <c r="O453" t="s">
        <v>134</v>
      </c>
      <c r="P453" t="s">
        <v>14</v>
      </c>
      <c r="Q453" s="1" t="s">
        <v>68</v>
      </c>
      <c r="R453" t="s">
        <v>68</v>
      </c>
      <c r="S453" t="e">
        <f>IF(T453="","",INDEX('Backing 4'!U:U,MATCH(T453,'Backing 4'!T:T,0)))</f>
        <v>#N/A</v>
      </c>
      <c r="T453" t="str">
        <f t="shared" si="21"/>
        <v xml:space="preserve"> Junior Officer &amp; Operations</v>
      </c>
      <c r="U453" t="e">
        <f>IF(V453="","",INDEX('Backing 4'!Z:Z,MATCH(V453,'Backing 4'!Y:Y,0)))</f>
        <v>#N/A</v>
      </c>
      <c r="V453" t="str">
        <f t="shared" si="22"/>
        <v xml:space="preserve"> Junior Officer</v>
      </c>
      <c r="W453">
        <v>2</v>
      </c>
      <c r="X453" t="str">
        <f>IF(E453="Y","",IF(Y453="Y",INDEX('Backing 2'!B:B,MATCH(D453,'Backing 2'!C:C,0)),D453))</f>
        <v xml:space="preserve"> Junior Officer</v>
      </c>
      <c r="Y453" t="s">
        <v>81</v>
      </c>
      <c r="Z453">
        <v>2</v>
      </c>
      <c r="AA453" t="s">
        <v>69</v>
      </c>
      <c r="AB453">
        <v>23</v>
      </c>
      <c r="AC453" t="s">
        <v>37</v>
      </c>
      <c r="AD453" t="s">
        <v>74</v>
      </c>
      <c r="AE453" t="s">
        <v>74</v>
      </c>
      <c r="AF453" s="3">
        <v>43191</v>
      </c>
      <c r="AG453">
        <v>2</v>
      </c>
      <c r="AH453">
        <f t="shared" ca="1" si="23"/>
        <v>0.83972292211592736</v>
      </c>
    </row>
    <row r="454" spans="1:34">
      <c r="A454">
        <v>453</v>
      </c>
      <c r="B454" t="s">
        <v>8</v>
      </c>
      <c r="C454">
        <v>2</v>
      </c>
      <c r="D454" t="s">
        <v>136</v>
      </c>
      <c r="E454" t="s">
        <v>81</v>
      </c>
      <c r="F454">
        <v>2</v>
      </c>
      <c r="G454" t="s">
        <v>82</v>
      </c>
      <c r="H454" t="s">
        <v>80</v>
      </c>
      <c r="I454" s="2">
        <v>0.5</v>
      </c>
      <c r="J454" t="s">
        <v>82</v>
      </c>
      <c r="K454" t="s">
        <v>79</v>
      </c>
      <c r="L454" t="s">
        <v>16</v>
      </c>
      <c r="M454">
        <v>0</v>
      </c>
      <c r="N454">
        <v>2</v>
      </c>
      <c r="O454" t="s">
        <v>136</v>
      </c>
      <c r="P454" t="s">
        <v>16</v>
      </c>
      <c r="Q454" s="1" t="s">
        <v>68</v>
      </c>
      <c r="R454" t="s">
        <v>68</v>
      </c>
      <c r="S454" t="e">
        <f>IF(T454="","",INDEX('Backing 4'!U:U,MATCH(T454,'Backing 4'!T:T,0)))</f>
        <v>#N/A</v>
      </c>
      <c r="T454" t="str">
        <f t="shared" si="21"/>
        <v xml:space="preserve"> Director &amp; Sales &amp; Marketing</v>
      </c>
      <c r="U454" t="s">
        <v>120</v>
      </c>
      <c r="V454" t="str">
        <f t="shared" si="22"/>
        <v xml:space="preserve"> Director</v>
      </c>
      <c r="W454">
        <v>4</v>
      </c>
      <c r="X454" t="str">
        <f>IF(E454="Y","",IF(Y454="Y",INDEX('Backing 2'!B:B,MATCH(D454,'Backing 2'!C:C,0)),D454))</f>
        <v xml:space="preserve"> Director</v>
      </c>
      <c r="Y454" t="s">
        <v>81</v>
      </c>
      <c r="Z454">
        <v>3</v>
      </c>
      <c r="AA454" t="s">
        <v>70</v>
      </c>
      <c r="AB454">
        <v>39</v>
      </c>
      <c r="AC454" t="s">
        <v>19</v>
      </c>
      <c r="AD454" t="s">
        <v>19</v>
      </c>
      <c r="AE454" t="s">
        <v>19</v>
      </c>
      <c r="AF454" s="3">
        <v>41000</v>
      </c>
      <c r="AG454">
        <v>8</v>
      </c>
      <c r="AH454">
        <f t="shared" ca="1" si="23"/>
        <v>3.3356603662616169E-2</v>
      </c>
    </row>
    <row r="455" spans="1:34">
      <c r="A455">
        <v>454</v>
      </c>
      <c r="B455" t="s">
        <v>8</v>
      </c>
      <c r="C455">
        <v>5</v>
      </c>
      <c r="D455" t="s">
        <v>138</v>
      </c>
      <c r="E455" t="s">
        <v>81</v>
      </c>
      <c r="F455">
        <v>1</v>
      </c>
      <c r="G455" t="s">
        <v>80</v>
      </c>
      <c r="H455" t="s">
        <v>80</v>
      </c>
      <c r="I455" s="2">
        <v>0.5</v>
      </c>
      <c r="J455" t="s">
        <v>82</v>
      </c>
      <c r="K455" t="s">
        <v>79</v>
      </c>
      <c r="L455" t="s">
        <v>14</v>
      </c>
      <c r="M455">
        <v>0</v>
      </c>
      <c r="N455">
        <v>4</v>
      </c>
      <c r="O455" t="s">
        <v>135</v>
      </c>
      <c r="P455" t="s">
        <v>14</v>
      </c>
      <c r="Q455" s="1" t="s">
        <v>68</v>
      </c>
      <c r="R455" t="s">
        <v>68</v>
      </c>
      <c r="S455" t="e">
        <f>IF(T455="","",INDEX('Backing 4'!U:U,MATCH(T455,'Backing 4'!T:T,0)))</f>
        <v>#N/A</v>
      </c>
      <c r="T455" t="str">
        <f t="shared" si="21"/>
        <v xml:space="preserve"> Senior Officer &amp; Operations</v>
      </c>
      <c r="U455" t="e">
        <f>IF(V455="","",INDEX('Backing 4'!Z:Z,MATCH(V455,'Backing 4'!Y:Y,0)))</f>
        <v>#N/A</v>
      </c>
      <c r="V455" t="str">
        <f t="shared" si="22"/>
        <v xml:space="preserve"> Senior Officer</v>
      </c>
      <c r="W455">
        <v>3</v>
      </c>
      <c r="X455" t="str">
        <f>IF(E455="Y","",IF(Y455="Y",INDEX('Backing 2'!B:B,MATCH(D455,'Backing 2'!C:C,0)),D455))</f>
        <v xml:space="preserve"> Senior Officer</v>
      </c>
      <c r="Y455" t="s">
        <v>81</v>
      </c>
      <c r="Z455">
        <v>2</v>
      </c>
      <c r="AA455" t="s">
        <v>70</v>
      </c>
      <c r="AB455">
        <v>34</v>
      </c>
      <c r="AC455" t="s">
        <v>19</v>
      </c>
      <c r="AD455" t="s">
        <v>19</v>
      </c>
      <c r="AE455" t="s">
        <v>19</v>
      </c>
      <c r="AF455" s="3">
        <v>42461</v>
      </c>
      <c r="AG455">
        <v>4</v>
      </c>
      <c r="AH455">
        <f t="shared" ca="1" si="23"/>
        <v>0.54963510185122211</v>
      </c>
    </row>
    <row r="456" spans="1:34">
      <c r="A456">
        <v>455</v>
      </c>
      <c r="B456" t="s">
        <v>7</v>
      </c>
      <c r="C456">
        <v>1</v>
      </c>
      <c r="D456" t="s">
        <v>139</v>
      </c>
      <c r="E456" t="s">
        <v>81</v>
      </c>
      <c r="F456">
        <v>0</v>
      </c>
      <c r="G456" t="s">
        <v>82</v>
      </c>
      <c r="H456" t="s">
        <v>82</v>
      </c>
      <c r="I456" s="2">
        <v>0.5</v>
      </c>
      <c r="J456" t="s">
        <v>82</v>
      </c>
      <c r="K456" t="s">
        <v>79</v>
      </c>
      <c r="L456" t="s">
        <v>16</v>
      </c>
      <c r="M456">
        <v>0</v>
      </c>
      <c r="N456">
        <v>1</v>
      </c>
      <c r="O456" t="s">
        <v>139</v>
      </c>
      <c r="P456" t="s">
        <v>16</v>
      </c>
      <c r="Q456" s="1" t="s">
        <v>68</v>
      </c>
      <c r="R456" t="s">
        <v>68</v>
      </c>
      <c r="S456" t="e">
        <f>IF(T456="","",INDEX('Backing 4'!U:U,MATCH(T456,'Backing 4'!T:T,0)))</f>
        <v>#N/A</v>
      </c>
      <c r="T456" t="str">
        <f t="shared" si="21"/>
        <v xml:space="preserve"> Executive &amp; Sales &amp; Marketing</v>
      </c>
      <c r="U456" t="e">
        <f>IF(V456="","",INDEX('Backing 4'!Z:Z,MATCH(V456,'Backing 4'!Y:Y,0)))</f>
        <v>#N/A</v>
      </c>
      <c r="V456" t="str">
        <f t="shared" si="22"/>
        <v xml:space="preserve"> Executive</v>
      </c>
      <c r="W456">
        <v>4</v>
      </c>
      <c r="X456" t="str">
        <f>IF(E456="Y","",IF(Y456="Y",INDEX('Backing 2'!B:B,MATCH(D456,'Backing 2'!C:C,0)),D456))</f>
        <v xml:space="preserve"> Executive</v>
      </c>
      <c r="Y456" t="s">
        <v>81</v>
      </c>
      <c r="Z456">
        <v>2</v>
      </c>
      <c r="AA456" t="s">
        <v>71</v>
      </c>
      <c r="AB456">
        <v>45</v>
      </c>
      <c r="AC456" t="s">
        <v>31</v>
      </c>
      <c r="AD456" t="s">
        <v>74</v>
      </c>
      <c r="AE456" t="s">
        <v>74</v>
      </c>
      <c r="AF456" s="3">
        <v>42461</v>
      </c>
      <c r="AG456">
        <v>4</v>
      </c>
      <c r="AH456">
        <f t="shared" ca="1" si="23"/>
        <v>0.16467915164523794</v>
      </c>
    </row>
    <row r="457" spans="1:34">
      <c r="A457">
        <v>456</v>
      </c>
      <c r="B457" t="s">
        <v>8</v>
      </c>
      <c r="C457">
        <v>5</v>
      </c>
      <c r="D457" t="s">
        <v>138</v>
      </c>
      <c r="E457" t="s">
        <v>81</v>
      </c>
      <c r="F457">
        <v>2</v>
      </c>
      <c r="G457" t="s">
        <v>82</v>
      </c>
      <c r="H457" t="s">
        <v>80</v>
      </c>
      <c r="I457" s="2">
        <v>0.5</v>
      </c>
      <c r="J457" t="s">
        <v>82</v>
      </c>
      <c r="K457" t="s">
        <v>79</v>
      </c>
      <c r="L457" t="s">
        <v>15</v>
      </c>
      <c r="M457">
        <v>0</v>
      </c>
      <c r="N457">
        <v>5</v>
      </c>
      <c r="O457" t="s">
        <v>138</v>
      </c>
      <c r="P457" t="s">
        <v>15</v>
      </c>
      <c r="Q457" s="1" t="s">
        <v>68</v>
      </c>
      <c r="R457" t="s">
        <v>68</v>
      </c>
      <c r="S457" t="e">
        <f>IF(T457="","",INDEX('Backing 4'!U:U,MATCH(T457,'Backing 4'!T:T,0)))</f>
        <v>#N/A</v>
      </c>
      <c r="T457" t="str">
        <f t="shared" si="21"/>
        <v xml:space="preserve"> Senior Officer &amp; Internal Services</v>
      </c>
      <c r="U457" t="e">
        <f>IF(V457="","",INDEX('Backing 4'!Z:Z,MATCH(V457,'Backing 4'!Y:Y,0)))</f>
        <v>#N/A</v>
      </c>
      <c r="V457" t="str">
        <f t="shared" si="22"/>
        <v xml:space="preserve"> Senior Officer</v>
      </c>
      <c r="W457">
        <v>3</v>
      </c>
      <c r="X457" t="str">
        <f>IF(E457="Y","",IF(Y457="Y",INDEX('Backing 2'!B:B,MATCH(D457,'Backing 2'!C:C,0)),D457))</f>
        <v xml:space="preserve"> Senior Officer</v>
      </c>
      <c r="Y457" t="s">
        <v>81</v>
      </c>
      <c r="Z457">
        <v>2</v>
      </c>
      <c r="AA457" t="s">
        <v>69</v>
      </c>
      <c r="AB457">
        <v>28</v>
      </c>
      <c r="AC457" t="s">
        <v>32</v>
      </c>
      <c r="AD457" t="s">
        <v>74</v>
      </c>
      <c r="AE457" t="s">
        <v>74</v>
      </c>
      <c r="AF457" s="3">
        <v>41365</v>
      </c>
      <c r="AG457">
        <v>7</v>
      </c>
      <c r="AH457">
        <f t="shared" ca="1" si="23"/>
        <v>0.97824245187850178</v>
      </c>
    </row>
    <row r="458" spans="1:34">
      <c r="A458">
        <v>457</v>
      </c>
      <c r="B458" t="s">
        <v>8</v>
      </c>
      <c r="C458">
        <v>5</v>
      </c>
      <c r="D458" t="s">
        <v>138</v>
      </c>
      <c r="E458" t="s">
        <v>81</v>
      </c>
      <c r="F458">
        <v>2</v>
      </c>
      <c r="G458" t="s">
        <v>80</v>
      </c>
      <c r="H458" t="s">
        <v>80</v>
      </c>
      <c r="I458" s="2">
        <v>0.5</v>
      </c>
      <c r="J458" t="s">
        <v>82</v>
      </c>
      <c r="K458" t="s">
        <v>79</v>
      </c>
      <c r="L458" t="s">
        <v>16</v>
      </c>
      <c r="M458">
        <v>0</v>
      </c>
      <c r="N458">
        <v>4</v>
      </c>
      <c r="O458" t="s">
        <v>135</v>
      </c>
      <c r="P458" t="s">
        <v>16</v>
      </c>
      <c r="Q458" s="1" t="s">
        <v>68</v>
      </c>
      <c r="R458" t="s">
        <v>68</v>
      </c>
      <c r="S458" t="e">
        <f>IF(T458="","",INDEX('Backing 4'!U:U,MATCH(T458,'Backing 4'!T:T,0)))</f>
        <v>#N/A</v>
      </c>
      <c r="T458" t="str">
        <f t="shared" si="21"/>
        <v xml:space="preserve"> Senior Officer &amp; Sales &amp; Marketing</v>
      </c>
      <c r="U458" t="e">
        <f>IF(V458="","",INDEX('Backing 4'!Z:Z,MATCH(V458,'Backing 4'!Y:Y,0)))</f>
        <v>#N/A</v>
      </c>
      <c r="V458" t="str">
        <f t="shared" si="22"/>
        <v xml:space="preserve"> Senior Officer</v>
      </c>
      <c r="W458">
        <v>3</v>
      </c>
      <c r="X458" t="str">
        <f>IF(E458="Y","",IF(Y458="Y",INDEX('Backing 2'!B:B,MATCH(D458,'Backing 2'!C:C,0)),D458))</f>
        <v xml:space="preserve"> Senior Officer</v>
      </c>
      <c r="Y458" t="s">
        <v>81</v>
      </c>
      <c r="Z458">
        <v>2</v>
      </c>
      <c r="AA458" t="s">
        <v>70</v>
      </c>
      <c r="AB458">
        <v>31</v>
      </c>
      <c r="AC458" t="s">
        <v>19</v>
      </c>
      <c r="AD458" t="s">
        <v>19</v>
      </c>
      <c r="AE458" t="s">
        <v>19</v>
      </c>
      <c r="AF458" s="3">
        <v>41365</v>
      </c>
      <c r="AG458">
        <v>7</v>
      </c>
      <c r="AH458">
        <f t="shared" ca="1" si="23"/>
        <v>0.65831092453483675</v>
      </c>
    </row>
    <row r="459" spans="1:34">
      <c r="A459">
        <v>458</v>
      </c>
      <c r="B459" t="s">
        <v>7</v>
      </c>
      <c r="C459">
        <v>3</v>
      </c>
      <c r="D459" t="s">
        <v>137</v>
      </c>
      <c r="E459" t="s">
        <v>81</v>
      </c>
      <c r="F459">
        <v>4</v>
      </c>
      <c r="G459" t="s">
        <v>82</v>
      </c>
      <c r="H459" t="s">
        <v>80</v>
      </c>
      <c r="I459" s="2">
        <v>0.5</v>
      </c>
      <c r="J459" t="s">
        <v>82</v>
      </c>
      <c r="K459" t="s">
        <v>79</v>
      </c>
      <c r="L459" t="s">
        <v>16</v>
      </c>
      <c r="M459">
        <v>0</v>
      </c>
      <c r="N459">
        <v>3</v>
      </c>
      <c r="O459" t="s">
        <v>137</v>
      </c>
      <c r="P459" t="s">
        <v>16</v>
      </c>
      <c r="Q459" s="1" t="s">
        <v>68</v>
      </c>
      <c r="R459" t="s">
        <v>68</v>
      </c>
      <c r="S459" t="e">
        <f>IF(T459="","",INDEX('Backing 4'!U:U,MATCH(T459,'Backing 4'!T:T,0)))</f>
        <v>#N/A</v>
      </c>
      <c r="T459" t="str">
        <f t="shared" si="21"/>
        <v xml:space="preserve"> Senior Manager &amp; Sales &amp; Marketing</v>
      </c>
      <c r="U459" t="e">
        <f>IF(V459="","",INDEX('Backing 4'!Z:Z,MATCH(V459,'Backing 4'!Y:Y,0)))</f>
        <v>#N/A</v>
      </c>
      <c r="V459" t="str">
        <f t="shared" si="22"/>
        <v xml:space="preserve"> Senior Manager</v>
      </c>
      <c r="W459">
        <v>2</v>
      </c>
      <c r="X459" t="str">
        <f>IF(E459="Y","",IF(Y459="Y",INDEX('Backing 2'!B:B,MATCH(D459,'Backing 2'!C:C,0)),D459))</f>
        <v xml:space="preserve"> Senior Manager</v>
      </c>
      <c r="Y459" t="s">
        <v>81</v>
      </c>
      <c r="Z459">
        <v>3</v>
      </c>
      <c r="AA459" t="s">
        <v>71</v>
      </c>
      <c r="AB459">
        <v>48</v>
      </c>
      <c r="AC459" t="s">
        <v>30</v>
      </c>
      <c r="AD459" t="s">
        <v>74</v>
      </c>
      <c r="AE459" t="s">
        <v>74</v>
      </c>
      <c r="AF459" s="3">
        <v>40634</v>
      </c>
      <c r="AG459">
        <v>9</v>
      </c>
      <c r="AH459">
        <f t="shared" ca="1" si="23"/>
        <v>0.77343689270757632</v>
      </c>
    </row>
    <row r="460" spans="1:34">
      <c r="A460">
        <v>459</v>
      </c>
      <c r="B460" t="s">
        <v>7</v>
      </c>
      <c r="C460">
        <v>6</v>
      </c>
      <c r="D460" t="s">
        <v>134</v>
      </c>
      <c r="E460" t="s">
        <v>81</v>
      </c>
      <c r="F460">
        <v>2</v>
      </c>
      <c r="G460" t="s">
        <v>82</v>
      </c>
      <c r="H460" t="s">
        <v>80</v>
      </c>
      <c r="I460" s="2">
        <v>0.5</v>
      </c>
      <c r="J460" t="s">
        <v>82</v>
      </c>
      <c r="K460" t="s">
        <v>79</v>
      </c>
      <c r="L460" t="s">
        <v>15</v>
      </c>
      <c r="M460">
        <v>0</v>
      </c>
      <c r="N460">
        <v>6</v>
      </c>
      <c r="O460" t="s">
        <v>134</v>
      </c>
      <c r="P460" t="s">
        <v>15</v>
      </c>
      <c r="Q460" s="1">
        <v>0.8</v>
      </c>
      <c r="R460" t="s">
        <v>67</v>
      </c>
      <c r="S460" t="e">
        <f>IF(T460="","",INDEX('Backing 4'!U:U,MATCH(T460,'Backing 4'!T:T,0)))</f>
        <v>#N/A</v>
      </c>
      <c r="T460" t="str">
        <f t="shared" si="21"/>
        <v xml:space="preserve"> Junior Officer &amp; Internal Services</v>
      </c>
      <c r="U460" t="e">
        <f>IF(V460="","",INDEX('Backing 4'!Z:Z,MATCH(V460,'Backing 4'!Y:Y,0)))</f>
        <v>#N/A</v>
      </c>
      <c r="V460" t="str">
        <f t="shared" si="22"/>
        <v xml:space="preserve"> Junior Officer</v>
      </c>
      <c r="W460">
        <v>3</v>
      </c>
      <c r="X460" t="str">
        <f>IF(E460="Y","",IF(Y460="Y",INDEX('Backing 2'!B:B,MATCH(D460,'Backing 2'!C:C,0)),D460))</f>
        <v xml:space="preserve"> Junior Officer</v>
      </c>
      <c r="Y460" t="s">
        <v>81</v>
      </c>
      <c r="Z460">
        <v>2</v>
      </c>
      <c r="AA460" t="s">
        <v>69</v>
      </c>
      <c r="AB460">
        <v>24</v>
      </c>
      <c r="AC460" t="s">
        <v>19</v>
      </c>
      <c r="AD460" t="s">
        <v>19</v>
      </c>
      <c r="AE460" t="s">
        <v>19</v>
      </c>
      <c r="AF460" s="3">
        <v>42826</v>
      </c>
      <c r="AG460">
        <v>3</v>
      </c>
      <c r="AH460">
        <f t="shared" ca="1" si="23"/>
        <v>0.65412318612442977</v>
      </c>
    </row>
    <row r="461" spans="1:34">
      <c r="A461">
        <v>460</v>
      </c>
      <c r="B461" t="s">
        <v>8</v>
      </c>
      <c r="C461">
        <v>4</v>
      </c>
      <c r="D461" t="s">
        <v>135</v>
      </c>
      <c r="E461" t="s">
        <v>81</v>
      </c>
      <c r="F461">
        <v>3</v>
      </c>
      <c r="G461" t="s">
        <v>82</v>
      </c>
      <c r="H461" t="s">
        <v>80</v>
      </c>
      <c r="I461" s="2">
        <v>0.5</v>
      </c>
      <c r="J461" t="s">
        <v>82</v>
      </c>
      <c r="K461" t="s">
        <v>79</v>
      </c>
      <c r="L461" t="s">
        <v>16</v>
      </c>
      <c r="M461">
        <v>0</v>
      </c>
      <c r="N461">
        <v>4</v>
      </c>
      <c r="O461" t="s">
        <v>135</v>
      </c>
      <c r="P461" t="s">
        <v>16</v>
      </c>
      <c r="Q461" s="1" t="s">
        <v>68</v>
      </c>
      <c r="R461" t="s">
        <v>68</v>
      </c>
      <c r="S461" t="e">
        <f>IF(T461="","",INDEX('Backing 4'!U:U,MATCH(T461,'Backing 4'!T:T,0)))</f>
        <v>#N/A</v>
      </c>
      <c r="T461" t="str">
        <f t="shared" si="21"/>
        <v xml:space="preserve"> Manager &amp; Sales &amp; Marketing</v>
      </c>
      <c r="U461" t="e">
        <f>IF(V461="","",INDEX('Backing 4'!Z:Z,MATCH(V461,'Backing 4'!Y:Y,0)))</f>
        <v>#N/A</v>
      </c>
      <c r="V461" t="str">
        <f t="shared" si="22"/>
        <v xml:space="preserve"> Manager</v>
      </c>
      <c r="W461">
        <v>2</v>
      </c>
      <c r="X461" t="str">
        <f>IF(E461="Y","",IF(Y461="Y",INDEX('Backing 2'!B:B,MATCH(D461,'Backing 2'!C:C,0)),D461))</f>
        <v xml:space="preserve"> Manager</v>
      </c>
      <c r="Y461" t="s">
        <v>81</v>
      </c>
      <c r="Z461">
        <v>3</v>
      </c>
      <c r="AA461" t="s">
        <v>70</v>
      </c>
      <c r="AB461">
        <v>32</v>
      </c>
      <c r="AC461" t="s">
        <v>19</v>
      </c>
      <c r="AD461" t="s">
        <v>19</v>
      </c>
      <c r="AE461" t="s">
        <v>19</v>
      </c>
      <c r="AF461" s="3">
        <v>42095</v>
      </c>
      <c r="AG461">
        <v>5</v>
      </c>
      <c r="AH461">
        <f t="shared" ca="1" si="23"/>
        <v>0.6988191765050592</v>
      </c>
    </row>
    <row r="462" spans="1:34">
      <c r="A462">
        <v>461</v>
      </c>
      <c r="B462" t="s">
        <v>7</v>
      </c>
      <c r="C462">
        <v>6</v>
      </c>
      <c r="D462" t="s">
        <v>134</v>
      </c>
      <c r="E462" t="s">
        <v>81</v>
      </c>
      <c r="F462">
        <v>3</v>
      </c>
      <c r="G462" t="s">
        <v>82</v>
      </c>
      <c r="H462" t="s">
        <v>80</v>
      </c>
      <c r="I462" s="2">
        <v>0.5</v>
      </c>
      <c r="J462" t="s">
        <v>82</v>
      </c>
      <c r="K462" t="s">
        <v>79</v>
      </c>
      <c r="L462" t="s">
        <v>14</v>
      </c>
      <c r="M462">
        <v>0</v>
      </c>
      <c r="N462">
        <v>6</v>
      </c>
      <c r="O462" t="s">
        <v>134</v>
      </c>
      <c r="P462" t="s">
        <v>14</v>
      </c>
      <c r="Q462" s="1" t="s">
        <v>68</v>
      </c>
      <c r="R462" t="s">
        <v>68</v>
      </c>
      <c r="S462" t="e">
        <f>IF(T462="","",INDEX('Backing 4'!U:U,MATCH(T462,'Backing 4'!T:T,0)))</f>
        <v>#N/A</v>
      </c>
      <c r="T462" t="str">
        <f t="shared" si="21"/>
        <v xml:space="preserve"> Junior Officer &amp; Operations</v>
      </c>
      <c r="U462" t="e">
        <f>IF(V462="","",INDEX('Backing 4'!Z:Z,MATCH(V462,'Backing 4'!Y:Y,0)))</f>
        <v>#N/A</v>
      </c>
      <c r="V462" t="str">
        <f t="shared" si="22"/>
        <v xml:space="preserve"> Junior Officer</v>
      </c>
      <c r="W462">
        <v>2</v>
      </c>
      <c r="X462" t="str">
        <f>IF(E462="Y","",IF(Y462="Y",INDEX('Backing 2'!B:B,MATCH(D462,'Backing 2'!C:C,0)),D462))</f>
        <v xml:space="preserve"> Junior Officer</v>
      </c>
      <c r="Y462" t="s">
        <v>81</v>
      </c>
      <c r="Z462">
        <v>2</v>
      </c>
      <c r="AA462" t="s">
        <v>69</v>
      </c>
      <c r="AB462">
        <v>28</v>
      </c>
      <c r="AC462" t="s">
        <v>19</v>
      </c>
      <c r="AD462" t="s">
        <v>19</v>
      </c>
      <c r="AE462" t="s">
        <v>19</v>
      </c>
      <c r="AF462" s="3">
        <v>43191</v>
      </c>
      <c r="AG462">
        <v>2</v>
      </c>
      <c r="AH462">
        <f t="shared" ca="1" si="23"/>
        <v>0.46375072852484978</v>
      </c>
    </row>
    <row r="463" spans="1:34">
      <c r="A463">
        <v>462</v>
      </c>
      <c r="B463" t="s">
        <v>8</v>
      </c>
      <c r="C463">
        <v>4</v>
      </c>
      <c r="D463" t="s">
        <v>135</v>
      </c>
      <c r="E463" t="s">
        <v>81</v>
      </c>
      <c r="F463">
        <v>2</v>
      </c>
      <c r="G463" t="s">
        <v>80</v>
      </c>
      <c r="H463" t="s">
        <v>80</v>
      </c>
      <c r="I463" s="2">
        <v>0.5</v>
      </c>
      <c r="J463" t="s">
        <v>82</v>
      </c>
      <c r="K463" t="s">
        <v>79</v>
      </c>
      <c r="L463" t="s">
        <v>14</v>
      </c>
      <c r="M463">
        <v>0</v>
      </c>
      <c r="N463">
        <v>3</v>
      </c>
      <c r="O463" t="s">
        <v>137</v>
      </c>
      <c r="P463" t="s">
        <v>14</v>
      </c>
      <c r="Q463" s="1" t="s">
        <v>68</v>
      </c>
      <c r="R463" t="s">
        <v>68</v>
      </c>
      <c r="S463" t="e">
        <f>IF(T463="","",INDEX('Backing 4'!U:U,MATCH(T463,'Backing 4'!T:T,0)))</f>
        <v>#N/A</v>
      </c>
      <c r="T463" t="str">
        <f t="shared" si="21"/>
        <v xml:space="preserve"> Manager &amp; Operations</v>
      </c>
      <c r="U463" t="e">
        <f>IF(V463="","",INDEX('Backing 4'!Z:Z,MATCH(V463,'Backing 4'!Y:Y,0)))</f>
        <v>#N/A</v>
      </c>
      <c r="V463" t="str">
        <f t="shared" si="22"/>
        <v xml:space="preserve"> Manager</v>
      </c>
      <c r="W463">
        <v>3</v>
      </c>
      <c r="X463" t="str">
        <f>IF(E463="Y","",IF(Y463="Y",INDEX('Backing 2'!B:B,MATCH(D463,'Backing 2'!C:C,0)),D463))</f>
        <v xml:space="preserve"> Manager</v>
      </c>
      <c r="Y463" t="s">
        <v>81</v>
      </c>
      <c r="Z463">
        <v>2</v>
      </c>
      <c r="AA463" t="s">
        <v>70</v>
      </c>
      <c r="AB463">
        <v>39</v>
      </c>
      <c r="AC463" t="s">
        <v>19</v>
      </c>
      <c r="AD463" t="s">
        <v>19</v>
      </c>
      <c r="AE463" t="s">
        <v>19</v>
      </c>
      <c r="AF463" s="3">
        <v>42461</v>
      </c>
      <c r="AG463">
        <v>4</v>
      </c>
      <c r="AH463">
        <f t="shared" ca="1" si="23"/>
        <v>0.44936918359353273</v>
      </c>
    </row>
    <row r="464" spans="1:34">
      <c r="A464">
        <v>463</v>
      </c>
      <c r="B464" t="s">
        <v>7</v>
      </c>
      <c r="C464">
        <v>6</v>
      </c>
      <c r="D464" t="s">
        <v>134</v>
      </c>
      <c r="E464" t="s">
        <v>81</v>
      </c>
      <c r="F464">
        <v>2</v>
      </c>
      <c r="G464" t="s">
        <v>82</v>
      </c>
      <c r="H464" t="s">
        <v>80</v>
      </c>
      <c r="I464" s="2">
        <v>0.5</v>
      </c>
      <c r="J464" t="s">
        <v>82</v>
      </c>
      <c r="K464" t="s">
        <v>79</v>
      </c>
      <c r="L464" t="s">
        <v>14</v>
      </c>
      <c r="M464">
        <v>0</v>
      </c>
      <c r="N464">
        <v>6</v>
      </c>
      <c r="O464" t="s">
        <v>134</v>
      </c>
      <c r="P464" t="s">
        <v>14</v>
      </c>
      <c r="Q464" s="1" t="s">
        <v>68</v>
      </c>
      <c r="R464" t="s">
        <v>68</v>
      </c>
      <c r="S464" t="e">
        <f>IF(T464="","",INDEX('Backing 4'!U:U,MATCH(T464,'Backing 4'!T:T,0)))</f>
        <v>#N/A</v>
      </c>
      <c r="T464" t="str">
        <f t="shared" si="21"/>
        <v xml:space="preserve"> Junior Officer &amp; Operations</v>
      </c>
      <c r="U464" t="e">
        <f>IF(V464="","",INDEX('Backing 4'!Z:Z,MATCH(V464,'Backing 4'!Y:Y,0)))</f>
        <v>#N/A</v>
      </c>
      <c r="V464" t="str">
        <f t="shared" si="22"/>
        <v xml:space="preserve"> Junior Officer</v>
      </c>
      <c r="W464">
        <v>2</v>
      </c>
      <c r="X464" t="str">
        <f>IF(E464="Y","",IF(Y464="Y",INDEX('Backing 2'!B:B,MATCH(D464,'Backing 2'!C:C,0)),D464))</f>
        <v xml:space="preserve"> Junior Officer</v>
      </c>
      <c r="Y464" t="s">
        <v>81</v>
      </c>
      <c r="Z464">
        <v>2</v>
      </c>
      <c r="AA464" t="s">
        <v>129</v>
      </c>
      <c r="AB464">
        <v>19</v>
      </c>
      <c r="AC464" t="s">
        <v>31</v>
      </c>
      <c r="AD464" t="s">
        <v>74</v>
      </c>
      <c r="AE464" t="s">
        <v>74</v>
      </c>
      <c r="AF464" s="3">
        <v>43191</v>
      </c>
      <c r="AG464">
        <v>2</v>
      </c>
      <c r="AH464">
        <f t="shared" ca="1" si="23"/>
        <v>0.90167343731377803</v>
      </c>
    </row>
    <row r="465" spans="1:34">
      <c r="A465">
        <v>464</v>
      </c>
      <c r="B465" t="s">
        <v>8</v>
      </c>
      <c r="C465">
        <v>6</v>
      </c>
      <c r="D465" t="s">
        <v>134</v>
      </c>
      <c r="E465" t="s">
        <v>81</v>
      </c>
      <c r="F465">
        <v>2</v>
      </c>
      <c r="G465" t="s">
        <v>82</v>
      </c>
      <c r="H465" t="s">
        <v>80</v>
      </c>
      <c r="I465" s="2">
        <v>0.5</v>
      </c>
      <c r="J465" t="s">
        <v>82</v>
      </c>
      <c r="K465" t="s">
        <v>79</v>
      </c>
      <c r="L465" t="s">
        <v>16</v>
      </c>
      <c r="M465">
        <v>0</v>
      </c>
      <c r="N465">
        <v>6</v>
      </c>
      <c r="O465" t="s">
        <v>134</v>
      </c>
      <c r="P465" t="s">
        <v>16</v>
      </c>
      <c r="Q465" s="1" t="s">
        <v>68</v>
      </c>
      <c r="R465" t="s">
        <v>68</v>
      </c>
      <c r="S465" t="e">
        <f>IF(T465="","",INDEX('Backing 4'!U:U,MATCH(T465,'Backing 4'!T:T,0)))</f>
        <v>#N/A</v>
      </c>
      <c r="T465" t="str">
        <f t="shared" si="21"/>
        <v xml:space="preserve"> Junior Officer &amp; Sales &amp; Marketing</v>
      </c>
      <c r="U465" t="e">
        <f>IF(V465="","",INDEX('Backing 4'!Z:Z,MATCH(V465,'Backing 4'!Y:Y,0)))</f>
        <v>#N/A</v>
      </c>
      <c r="V465" t="str">
        <f t="shared" si="22"/>
        <v xml:space="preserve"> Junior Officer</v>
      </c>
      <c r="W465">
        <v>1</v>
      </c>
      <c r="X465" t="str">
        <f>IF(E465="Y","",IF(Y465="Y",INDEX('Backing 2'!B:B,MATCH(D465,'Backing 2'!C:C,0)),D465))</f>
        <v xml:space="preserve"> Junior Officer</v>
      </c>
      <c r="Y465" t="s">
        <v>81</v>
      </c>
      <c r="Z465">
        <v>0</v>
      </c>
      <c r="AA465" t="s">
        <v>69</v>
      </c>
      <c r="AB465">
        <v>21</v>
      </c>
      <c r="AC465" t="s">
        <v>31</v>
      </c>
      <c r="AD465" t="s">
        <v>74</v>
      </c>
      <c r="AE465" t="s">
        <v>74</v>
      </c>
      <c r="AF465" s="3">
        <v>43556</v>
      </c>
      <c r="AG465">
        <v>1</v>
      </c>
      <c r="AH465">
        <f t="shared" ca="1" si="23"/>
        <v>0.47297196021806009</v>
      </c>
    </row>
    <row r="466" spans="1:34">
      <c r="A466">
        <v>465</v>
      </c>
      <c r="B466" t="s">
        <v>8</v>
      </c>
      <c r="C466">
        <v>3</v>
      </c>
      <c r="D466" t="s">
        <v>137</v>
      </c>
      <c r="E466" t="s">
        <v>81</v>
      </c>
      <c r="F466">
        <v>2</v>
      </c>
      <c r="G466" t="s">
        <v>82</v>
      </c>
      <c r="H466" t="s">
        <v>80</v>
      </c>
      <c r="I466" s="2">
        <v>0.5</v>
      </c>
      <c r="J466" t="s">
        <v>82</v>
      </c>
      <c r="K466" t="s">
        <v>79</v>
      </c>
      <c r="L466" t="s">
        <v>16</v>
      </c>
      <c r="M466">
        <v>0</v>
      </c>
      <c r="N466">
        <v>3</v>
      </c>
      <c r="O466" t="s">
        <v>137</v>
      </c>
      <c r="P466" t="s">
        <v>16</v>
      </c>
      <c r="Q466" s="1" t="s">
        <v>68</v>
      </c>
      <c r="R466" t="s">
        <v>68</v>
      </c>
      <c r="S466" t="e">
        <f>IF(T466="","",INDEX('Backing 4'!U:U,MATCH(T466,'Backing 4'!T:T,0)))</f>
        <v>#N/A</v>
      </c>
      <c r="T466" t="str">
        <f t="shared" si="21"/>
        <v xml:space="preserve"> Senior Manager &amp; Sales &amp; Marketing</v>
      </c>
      <c r="U466" t="e">
        <f>IF(V466="","",INDEX('Backing 4'!Z:Z,MATCH(V466,'Backing 4'!Y:Y,0)))</f>
        <v>#N/A</v>
      </c>
      <c r="V466" t="str">
        <f t="shared" si="22"/>
        <v xml:space="preserve"> Senior Manager</v>
      </c>
      <c r="W466">
        <v>2</v>
      </c>
      <c r="X466" t="str">
        <f>IF(E466="Y","",IF(Y466="Y",INDEX('Backing 2'!B:B,MATCH(D466,'Backing 2'!C:C,0)),D466))</f>
        <v xml:space="preserve"> Senior Manager</v>
      </c>
      <c r="Y466" t="s">
        <v>81</v>
      </c>
      <c r="Z466">
        <v>2</v>
      </c>
      <c r="AA466" t="s">
        <v>70</v>
      </c>
      <c r="AB466">
        <v>33</v>
      </c>
      <c r="AC466" t="s">
        <v>19</v>
      </c>
      <c r="AD466" t="s">
        <v>19</v>
      </c>
      <c r="AE466" t="s">
        <v>19</v>
      </c>
      <c r="AF466" s="3">
        <v>41730</v>
      </c>
      <c r="AG466">
        <v>6</v>
      </c>
      <c r="AH466">
        <f t="shared" ca="1" si="23"/>
        <v>0.25601041195826124</v>
      </c>
    </row>
    <row r="467" spans="1:34">
      <c r="A467">
        <v>466</v>
      </c>
      <c r="B467" t="s">
        <v>7</v>
      </c>
      <c r="C467">
        <v>6</v>
      </c>
      <c r="D467" t="s">
        <v>134</v>
      </c>
      <c r="E467" t="s">
        <v>81</v>
      </c>
      <c r="F467">
        <v>3</v>
      </c>
      <c r="G467" t="s">
        <v>82</v>
      </c>
      <c r="H467" t="s">
        <v>80</v>
      </c>
      <c r="I467" s="2">
        <v>0.5</v>
      </c>
      <c r="J467" t="s">
        <v>82</v>
      </c>
      <c r="K467" t="s">
        <v>79</v>
      </c>
      <c r="L467" t="s">
        <v>16</v>
      </c>
      <c r="M467">
        <v>0</v>
      </c>
      <c r="N467">
        <v>6</v>
      </c>
      <c r="O467" t="s">
        <v>134</v>
      </c>
      <c r="P467" t="s">
        <v>16</v>
      </c>
      <c r="Q467" s="1">
        <v>0.8</v>
      </c>
      <c r="R467" t="s">
        <v>67</v>
      </c>
      <c r="S467" t="e">
        <f>IF(T467="","",INDEX('Backing 4'!U:U,MATCH(T467,'Backing 4'!T:T,0)))</f>
        <v>#N/A</v>
      </c>
      <c r="T467" t="str">
        <f t="shared" si="21"/>
        <v xml:space="preserve"> Junior Officer &amp; Sales &amp; Marketing</v>
      </c>
      <c r="U467" t="e">
        <f>IF(V467="","",INDEX('Backing 4'!Z:Z,MATCH(V467,'Backing 4'!Y:Y,0)))</f>
        <v>#N/A</v>
      </c>
      <c r="V467" t="str">
        <f t="shared" si="22"/>
        <v xml:space="preserve"> Junior Officer</v>
      </c>
      <c r="W467">
        <v>3</v>
      </c>
      <c r="X467" t="str">
        <f>IF(E467="Y","",IF(Y467="Y",INDEX('Backing 2'!B:B,MATCH(D467,'Backing 2'!C:C,0)),D467))</f>
        <v xml:space="preserve"> Junior Officer</v>
      </c>
      <c r="Y467" t="s">
        <v>81</v>
      </c>
      <c r="Z467">
        <v>2</v>
      </c>
      <c r="AA467" t="s">
        <v>69</v>
      </c>
      <c r="AB467">
        <v>26</v>
      </c>
      <c r="AC467" t="s">
        <v>19</v>
      </c>
      <c r="AD467" t="s">
        <v>19</v>
      </c>
      <c r="AE467" t="s">
        <v>19</v>
      </c>
      <c r="AF467" s="3">
        <v>42826</v>
      </c>
      <c r="AG467">
        <v>3</v>
      </c>
      <c r="AH467">
        <f t="shared" ca="1" si="23"/>
        <v>0.72568855427168688</v>
      </c>
    </row>
    <row r="468" spans="1:34">
      <c r="A468">
        <v>467</v>
      </c>
      <c r="B468" t="s">
        <v>8</v>
      </c>
      <c r="C468">
        <v>2</v>
      </c>
      <c r="D468" t="s">
        <v>136</v>
      </c>
      <c r="E468" t="s">
        <v>81</v>
      </c>
      <c r="F468">
        <v>2</v>
      </c>
      <c r="G468" t="s">
        <v>80</v>
      </c>
      <c r="H468" t="s">
        <v>80</v>
      </c>
      <c r="I468" s="2">
        <v>0.5</v>
      </c>
      <c r="J468" t="s">
        <v>82</v>
      </c>
      <c r="K468" t="s">
        <v>79</v>
      </c>
      <c r="L468" t="s">
        <v>16</v>
      </c>
      <c r="M468">
        <v>0</v>
      </c>
      <c r="N468">
        <v>1</v>
      </c>
      <c r="O468" t="s">
        <v>139</v>
      </c>
      <c r="P468" t="s">
        <v>16</v>
      </c>
      <c r="Q468" s="1" t="s">
        <v>68</v>
      </c>
      <c r="R468" t="s">
        <v>68</v>
      </c>
      <c r="S468" t="e">
        <f>IF(T468="","",INDEX('Backing 4'!U:U,MATCH(T468,'Backing 4'!T:T,0)))</f>
        <v>#N/A</v>
      </c>
      <c r="T468" t="str">
        <f t="shared" si="21"/>
        <v xml:space="preserve"> Director &amp; Sales &amp; Marketing</v>
      </c>
      <c r="U468" t="s">
        <v>120</v>
      </c>
      <c r="V468" t="str">
        <f t="shared" si="22"/>
        <v xml:space="preserve"> Director</v>
      </c>
      <c r="W468">
        <v>5</v>
      </c>
      <c r="X468" t="str">
        <f>IF(E468="Y","",IF(Y468="Y",INDEX('Backing 2'!B:B,MATCH(D468,'Backing 2'!C:C,0)),D468))</f>
        <v xml:space="preserve"> Director</v>
      </c>
      <c r="Y468" t="s">
        <v>81</v>
      </c>
      <c r="Z468">
        <v>2</v>
      </c>
      <c r="AA468" t="s">
        <v>71</v>
      </c>
      <c r="AB468">
        <v>48</v>
      </c>
      <c r="AC468" t="s">
        <v>19</v>
      </c>
      <c r="AD468" t="s">
        <v>19</v>
      </c>
      <c r="AE468" t="s">
        <v>19</v>
      </c>
      <c r="AF468" s="3">
        <v>42095</v>
      </c>
      <c r="AG468">
        <v>5</v>
      </c>
      <c r="AH468">
        <f t="shared" ca="1" si="23"/>
        <v>0.56927942801804476</v>
      </c>
    </row>
    <row r="469" spans="1:34">
      <c r="A469">
        <v>468</v>
      </c>
      <c r="B469" t="s">
        <v>8</v>
      </c>
      <c r="C469">
        <v>1</v>
      </c>
      <c r="D469" s="4" t="s">
        <v>139</v>
      </c>
      <c r="E469" t="s">
        <v>81</v>
      </c>
      <c r="F469">
        <v>0</v>
      </c>
      <c r="G469" t="s">
        <v>82</v>
      </c>
      <c r="H469" t="s">
        <v>82</v>
      </c>
      <c r="I469" s="2">
        <v>0.5</v>
      </c>
      <c r="J469" t="s">
        <v>80</v>
      </c>
      <c r="K469" t="s">
        <v>79</v>
      </c>
      <c r="L469" t="s">
        <v>17</v>
      </c>
      <c r="M469" t="s">
        <v>83</v>
      </c>
      <c r="N469">
        <v>0</v>
      </c>
      <c r="O469" t="s">
        <v>142</v>
      </c>
      <c r="P469" t="s">
        <v>17</v>
      </c>
      <c r="Q469" s="1" t="s">
        <v>68</v>
      </c>
      <c r="R469" t="s">
        <v>68</v>
      </c>
      <c r="S469" t="e">
        <f>IF(T469="","",INDEX('Backing 4'!U:U,MATCH(T469,'Backing 4'!T:T,0)))</f>
        <v>#N/A</v>
      </c>
      <c r="T469" t="str">
        <f t="shared" si="21"/>
        <v xml:space="preserve"> Executive &amp; Strategy</v>
      </c>
      <c r="U469" t="e">
        <f>IF(V469="","",INDEX('Backing 4'!Z:Z,MATCH(V469,'Backing 4'!Y:Y,0)))</f>
        <v>#N/A</v>
      </c>
      <c r="V469" t="str">
        <f t="shared" si="22"/>
        <v xml:space="preserve"> Executive</v>
      </c>
      <c r="W469">
        <v>2</v>
      </c>
      <c r="X469" t="str">
        <f>IF(E469="Y","",IF(Y469="Y",INDEX('Backing 2'!B:B,MATCH(D469,'Backing 2'!C:C,0)),D469))</f>
        <v xml:space="preserve"> Executive</v>
      </c>
      <c r="Y469" t="s">
        <v>81</v>
      </c>
      <c r="Z469">
        <v>3</v>
      </c>
      <c r="AA469" t="s">
        <v>70</v>
      </c>
      <c r="AB469">
        <v>31</v>
      </c>
      <c r="AC469" t="s">
        <v>19</v>
      </c>
      <c r="AD469" t="s">
        <v>19</v>
      </c>
      <c r="AE469" t="s">
        <v>19</v>
      </c>
      <c r="AF469" s="3">
        <v>41365</v>
      </c>
      <c r="AG469">
        <v>7</v>
      </c>
      <c r="AH469">
        <f t="shared" ca="1" si="23"/>
        <v>0.28395158615840876</v>
      </c>
    </row>
    <row r="470" spans="1:34">
      <c r="A470">
        <v>469</v>
      </c>
      <c r="B470" t="s">
        <v>8</v>
      </c>
      <c r="C470">
        <v>6</v>
      </c>
      <c r="D470" t="s">
        <v>134</v>
      </c>
      <c r="E470" t="s">
        <v>81</v>
      </c>
      <c r="F470">
        <v>2</v>
      </c>
      <c r="G470" t="s">
        <v>82</v>
      </c>
      <c r="H470" t="s">
        <v>80</v>
      </c>
      <c r="I470" s="2">
        <v>0.5</v>
      </c>
      <c r="J470" t="s">
        <v>82</v>
      </c>
      <c r="K470" t="s">
        <v>79</v>
      </c>
      <c r="L470" t="s">
        <v>16</v>
      </c>
      <c r="M470">
        <v>0</v>
      </c>
      <c r="N470">
        <v>6</v>
      </c>
      <c r="O470" t="s">
        <v>134</v>
      </c>
      <c r="P470" t="s">
        <v>16</v>
      </c>
      <c r="Q470" s="1" t="s">
        <v>68</v>
      </c>
      <c r="R470" t="s">
        <v>68</v>
      </c>
      <c r="S470" t="e">
        <f>IF(T470="","",INDEX('Backing 4'!U:U,MATCH(T470,'Backing 4'!T:T,0)))</f>
        <v>#N/A</v>
      </c>
      <c r="T470" t="str">
        <f t="shared" si="21"/>
        <v xml:space="preserve"> Junior Officer &amp; Sales &amp; Marketing</v>
      </c>
      <c r="U470" t="e">
        <f>IF(V470="","",INDEX('Backing 4'!Z:Z,MATCH(V470,'Backing 4'!Y:Y,0)))</f>
        <v>#N/A</v>
      </c>
      <c r="V470" t="str">
        <f t="shared" si="22"/>
        <v xml:space="preserve"> Junior Officer</v>
      </c>
      <c r="W470">
        <v>2</v>
      </c>
      <c r="X470" t="str">
        <f>IF(E470="Y","",IF(Y470="Y",INDEX('Backing 2'!B:B,MATCH(D470,'Backing 2'!C:C,0)),D470))</f>
        <v xml:space="preserve"> Junior Officer</v>
      </c>
      <c r="Y470" t="s">
        <v>81</v>
      </c>
      <c r="Z470">
        <v>3</v>
      </c>
      <c r="AA470" t="s">
        <v>69</v>
      </c>
      <c r="AB470">
        <v>23</v>
      </c>
      <c r="AC470" t="s">
        <v>31</v>
      </c>
      <c r="AD470" t="s">
        <v>74</v>
      </c>
      <c r="AE470" t="s">
        <v>74</v>
      </c>
      <c r="AF470" s="3">
        <v>43191</v>
      </c>
      <c r="AG470">
        <v>2</v>
      </c>
      <c r="AH470">
        <f t="shared" ca="1" si="23"/>
        <v>0.62953554288463798</v>
      </c>
    </row>
    <row r="471" spans="1:34">
      <c r="A471">
        <v>470</v>
      </c>
      <c r="B471" t="s">
        <v>7</v>
      </c>
      <c r="C471">
        <v>6</v>
      </c>
      <c r="D471" t="s">
        <v>134</v>
      </c>
      <c r="E471" t="s">
        <v>81</v>
      </c>
      <c r="F471">
        <v>2</v>
      </c>
      <c r="G471" t="s">
        <v>82</v>
      </c>
      <c r="H471" t="s">
        <v>80</v>
      </c>
      <c r="I471" s="2">
        <v>0.5</v>
      </c>
      <c r="J471" t="s">
        <v>82</v>
      </c>
      <c r="K471" t="s">
        <v>79</v>
      </c>
      <c r="L471" t="s">
        <v>14</v>
      </c>
      <c r="M471">
        <v>0</v>
      </c>
      <c r="N471">
        <v>6</v>
      </c>
      <c r="O471" t="s">
        <v>134</v>
      </c>
      <c r="P471" t="s">
        <v>14</v>
      </c>
      <c r="Q471" s="1" t="s">
        <v>68</v>
      </c>
      <c r="R471" t="s">
        <v>68</v>
      </c>
      <c r="S471" t="e">
        <f>IF(T471="","",INDEX('Backing 4'!U:U,MATCH(T471,'Backing 4'!T:T,0)))</f>
        <v>#N/A</v>
      </c>
      <c r="T471" t="str">
        <f t="shared" si="21"/>
        <v xml:space="preserve"> Junior Officer &amp; Operations</v>
      </c>
      <c r="U471" t="e">
        <f>IF(V471="","",INDEX('Backing 4'!Z:Z,MATCH(V471,'Backing 4'!Y:Y,0)))</f>
        <v>#N/A</v>
      </c>
      <c r="V471" t="str">
        <f t="shared" si="22"/>
        <v xml:space="preserve"> Junior Officer</v>
      </c>
      <c r="W471">
        <v>3</v>
      </c>
      <c r="X471" t="str">
        <f>IF(E471="Y","",IF(Y471="Y",INDEX('Backing 2'!B:B,MATCH(D471,'Backing 2'!C:C,0)),D471))</f>
        <v xml:space="preserve"> Junior Officer</v>
      </c>
      <c r="Y471" t="s">
        <v>81</v>
      </c>
      <c r="Z471">
        <v>3</v>
      </c>
      <c r="AA471" t="s">
        <v>69</v>
      </c>
      <c r="AB471">
        <v>24</v>
      </c>
      <c r="AC471" t="s">
        <v>30</v>
      </c>
      <c r="AD471" t="s">
        <v>74</v>
      </c>
      <c r="AE471" t="s">
        <v>74</v>
      </c>
      <c r="AF471" s="3">
        <v>42826</v>
      </c>
      <c r="AG471">
        <v>3</v>
      </c>
      <c r="AH471">
        <f t="shared" ca="1" si="23"/>
        <v>0.56085886100528259</v>
      </c>
    </row>
    <row r="472" spans="1:34">
      <c r="A472">
        <v>471</v>
      </c>
      <c r="B472" t="s">
        <v>8</v>
      </c>
      <c r="C472">
        <v>6</v>
      </c>
      <c r="D472" t="s">
        <v>134</v>
      </c>
      <c r="E472" t="s">
        <v>81</v>
      </c>
      <c r="F472">
        <v>3</v>
      </c>
      <c r="G472" t="s">
        <v>82</v>
      </c>
      <c r="H472" t="s">
        <v>80</v>
      </c>
      <c r="I472" s="2">
        <v>0.5</v>
      </c>
      <c r="J472" t="s">
        <v>82</v>
      </c>
      <c r="K472" t="s">
        <v>79</v>
      </c>
      <c r="L472" t="s">
        <v>15</v>
      </c>
      <c r="M472">
        <v>0</v>
      </c>
      <c r="N472">
        <v>6</v>
      </c>
      <c r="O472" t="s">
        <v>134</v>
      </c>
      <c r="P472" t="s">
        <v>15</v>
      </c>
      <c r="Q472" s="1" t="s">
        <v>68</v>
      </c>
      <c r="R472" t="s">
        <v>68</v>
      </c>
      <c r="S472" t="e">
        <f>IF(T472="","",INDEX('Backing 4'!U:U,MATCH(T472,'Backing 4'!T:T,0)))</f>
        <v>#N/A</v>
      </c>
      <c r="T472" t="str">
        <f t="shared" si="21"/>
        <v xml:space="preserve"> Junior Officer &amp; Internal Services</v>
      </c>
      <c r="U472" t="e">
        <f>IF(V472="","",INDEX('Backing 4'!Z:Z,MATCH(V472,'Backing 4'!Y:Y,0)))</f>
        <v>#N/A</v>
      </c>
      <c r="V472" t="str">
        <f t="shared" si="22"/>
        <v xml:space="preserve"> Junior Officer</v>
      </c>
      <c r="W472">
        <v>2</v>
      </c>
      <c r="X472" t="str">
        <f>IF(E472="Y","",IF(Y472="Y",INDEX('Backing 2'!B:B,MATCH(D472,'Backing 2'!C:C,0)),D472))</f>
        <v xml:space="preserve"> Junior Officer</v>
      </c>
      <c r="Y472" t="s">
        <v>81</v>
      </c>
      <c r="Z472">
        <v>3</v>
      </c>
      <c r="AA472" t="s">
        <v>69</v>
      </c>
      <c r="AB472">
        <v>24</v>
      </c>
      <c r="AC472" t="s">
        <v>31</v>
      </c>
      <c r="AD472" t="s">
        <v>74</v>
      </c>
      <c r="AE472" t="s">
        <v>74</v>
      </c>
      <c r="AF472" s="3">
        <v>43191</v>
      </c>
      <c r="AG472">
        <v>2</v>
      </c>
      <c r="AH472">
        <f t="shared" ca="1" si="23"/>
        <v>0.82762603319538319</v>
      </c>
    </row>
    <row r="473" spans="1:34">
      <c r="A473">
        <v>472</v>
      </c>
      <c r="B473" t="s">
        <v>8</v>
      </c>
      <c r="C473">
        <v>6</v>
      </c>
      <c r="D473" t="s">
        <v>134</v>
      </c>
      <c r="E473" t="s">
        <v>81</v>
      </c>
      <c r="F473">
        <v>2</v>
      </c>
      <c r="G473" t="s">
        <v>82</v>
      </c>
      <c r="H473" t="s">
        <v>80</v>
      </c>
      <c r="I473" s="2">
        <v>0.5</v>
      </c>
      <c r="J473" t="s">
        <v>82</v>
      </c>
      <c r="K473" t="s">
        <v>79</v>
      </c>
      <c r="L473" t="s">
        <v>15</v>
      </c>
      <c r="M473">
        <v>0</v>
      </c>
      <c r="N473">
        <v>6</v>
      </c>
      <c r="O473" t="s">
        <v>134</v>
      </c>
      <c r="P473" t="s">
        <v>15</v>
      </c>
      <c r="Q473" s="1" t="s">
        <v>68</v>
      </c>
      <c r="R473" t="s">
        <v>68</v>
      </c>
      <c r="S473" t="e">
        <f>IF(T473="","",INDEX('Backing 4'!U:U,MATCH(T473,'Backing 4'!T:T,0)))</f>
        <v>#N/A</v>
      </c>
      <c r="T473" t="str">
        <f t="shared" si="21"/>
        <v xml:space="preserve"> Junior Officer &amp; Internal Services</v>
      </c>
      <c r="U473" t="e">
        <f>IF(V473="","",INDEX('Backing 4'!Z:Z,MATCH(V473,'Backing 4'!Y:Y,0)))</f>
        <v>#N/A</v>
      </c>
      <c r="V473" t="str">
        <f t="shared" si="22"/>
        <v xml:space="preserve"> Junior Officer</v>
      </c>
      <c r="W473">
        <v>2</v>
      </c>
      <c r="X473" t="str">
        <f>IF(E473="Y","",IF(Y473="Y",INDEX('Backing 2'!B:B,MATCH(D473,'Backing 2'!C:C,0)),D473))</f>
        <v xml:space="preserve"> Junior Officer</v>
      </c>
      <c r="Y473" t="s">
        <v>81</v>
      </c>
      <c r="Z473">
        <v>3</v>
      </c>
      <c r="AA473" t="s">
        <v>69</v>
      </c>
      <c r="AB473">
        <v>23</v>
      </c>
      <c r="AC473" t="s">
        <v>19</v>
      </c>
      <c r="AD473" t="s">
        <v>19</v>
      </c>
      <c r="AE473" t="s">
        <v>19</v>
      </c>
      <c r="AF473" s="3">
        <v>43191</v>
      </c>
      <c r="AG473">
        <v>2</v>
      </c>
      <c r="AH473">
        <f t="shared" ca="1" si="23"/>
        <v>0.96841665191196424</v>
      </c>
    </row>
    <row r="474" spans="1:34">
      <c r="A474">
        <v>473</v>
      </c>
      <c r="B474" t="s">
        <v>7</v>
      </c>
      <c r="C474">
        <v>4</v>
      </c>
      <c r="D474" t="s">
        <v>135</v>
      </c>
      <c r="E474" t="s">
        <v>81</v>
      </c>
      <c r="F474">
        <v>2</v>
      </c>
      <c r="G474" t="s">
        <v>80</v>
      </c>
      <c r="H474" t="s">
        <v>80</v>
      </c>
      <c r="I474" s="2">
        <v>0.5</v>
      </c>
      <c r="J474" t="s">
        <v>82</v>
      </c>
      <c r="K474" t="s">
        <v>79</v>
      </c>
      <c r="L474" t="s">
        <v>14</v>
      </c>
      <c r="M474">
        <v>0</v>
      </c>
      <c r="N474">
        <v>3</v>
      </c>
      <c r="O474" t="s">
        <v>137</v>
      </c>
      <c r="P474" t="s">
        <v>14</v>
      </c>
      <c r="Q474" s="1" t="s">
        <v>68</v>
      </c>
      <c r="R474" t="s">
        <v>68</v>
      </c>
      <c r="S474" t="e">
        <f>IF(T474="","",INDEX('Backing 4'!U:U,MATCH(T474,'Backing 4'!T:T,0)))</f>
        <v>#N/A</v>
      </c>
      <c r="T474" t="str">
        <f t="shared" si="21"/>
        <v xml:space="preserve"> Manager &amp; Operations</v>
      </c>
      <c r="U474" t="e">
        <f>IF(V474="","",INDEX('Backing 4'!Z:Z,MATCH(V474,'Backing 4'!Y:Y,0)))</f>
        <v>#N/A</v>
      </c>
      <c r="V474" t="str">
        <f t="shared" si="22"/>
        <v xml:space="preserve"> Manager</v>
      </c>
      <c r="W474">
        <v>3</v>
      </c>
      <c r="X474" t="str">
        <f>IF(E474="Y","",IF(Y474="Y",INDEX('Backing 2'!B:B,MATCH(D474,'Backing 2'!C:C,0)),D474))</f>
        <v xml:space="preserve"> Manager</v>
      </c>
      <c r="Y474" t="s">
        <v>81</v>
      </c>
      <c r="Z474">
        <v>0</v>
      </c>
      <c r="AA474" t="s">
        <v>71</v>
      </c>
      <c r="AB474">
        <v>49</v>
      </c>
      <c r="AC474" t="s">
        <v>19</v>
      </c>
      <c r="AD474" t="s">
        <v>19</v>
      </c>
      <c r="AE474" t="s">
        <v>19</v>
      </c>
      <c r="AF474" s="3">
        <v>41000</v>
      </c>
      <c r="AG474">
        <v>8</v>
      </c>
      <c r="AH474">
        <f t="shared" ca="1" si="23"/>
        <v>0.90578223660169788</v>
      </c>
    </row>
    <row r="475" spans="1:34">
      <c r="A475">
        <v>474</v>
      </c>
      <c r="B475" t="s">
        <v>8</v>
      </c>
      <c r="C475">
        <v>4</v>
      </c>
      <c r="D475" t="s">
        <v>135</v>
      </c>
      <c r="E475" t="s">
        <v>81</v>
      </c>
      <c r="F475">
        <v>3</v>
      </c>
      <c r="G475" t="s">
        <v>82</v>
      </c>
      <c r="H475" t="s">
        <v>80</v>
      </c>
      <c r="I475" s="2">
        <v>0.5</v>
      </c>
      <c r="J475" t="s">
        <v>82</v>
      </c>
      <c r="K475" t="s">
        <v>79</v>
      </c>
      <c r="L475" t="s">
        <v>16</v>
      </c>
      <c r="M475">
        <v>0</v>
      </c>
      <c r="N475">
        <v>4</v>
      </c>
      <c r="O475" t="s">
        <v>135</v>
      </c>
      <c r="P475" t="s">
        <v>16</v>
      </c>
      <c r="Q475" s="1" t="s">
        <v>68</v>
      </c>
      <c r="R475" t="s">
        <v>68</v>
      </c>
      <c r="S475" t="e">
        <f>IF(T475="","",INDEX('Backing 4'!U:U,MATCH(T475,'Backing 4'!T:T,0)))</f>
        <v>#N/A</v>
      </c>
      <c r="T475" t="str">
        <f t="shared" si="21"/>
        <v xml:space="preserve"> Manager &amp; Sales &amp; Marketing</v>
      </c>
      <c r="U475" t="e">
        <f>IF(V475="","",INDEX('Backing 4'!Z:Z,MATCH(V475,'Backing 4'!Y:Y,0)))</f>
        <v>#N/A</v>
      </c>
      <c r="V475" t="str">
        <f t="shared" si="22"/>
        <v xml:space="preserve"> Manager</v>
      </c>
      <c r="W475">
        <v>3</v>
      </c>
      <c r="X475" t="str">
        <f>IF(E475="Y","",IF(Y475="Y",INDEX('Backing 2'!B:B,MATCH(D475,'Backing 2'!C:C,0)),D475))</f>
        <v xml:space="preserve"> Manager</v>
      </c>
      <c r="Y475" t="s">
        <v>81</v>
      </c>
      <c r="Z475">
        <v>3</v>
      </c>
      <c r="AA475" t="s">
        <v>70</v>
      </c>
      <c r="AB475">
        <v>33</v>
      </c>
      <c r="AC475" t="s">
        <v>19</v>
      </c>
      <c r="AD475" t="s">
        <v>19</v>
      </c>
      <c r="AE475" t="s">
        <v>19</v>
      </c>
      <c r="AF475" s="3">
        <v>41365</v>
      </c>
      <c r="AG475">
        <v>7</v>
      </c>
      <c r="AH475">
        <f t="shared" ca="1" si="23"/>
        <v>0.27449244255785177</v>
      </c>
    </row>
    <row r="476" spans="1:34">
      <c r="A476">
        <v>475</v>
      </c>
      <c r="B476" t="s">
        <v>7</v>
      </c>
      <c r="C476">
        <v>6</v>
      </c>
      <c r="D476" t="s">
        <v>134</v>
      </c>
      <c r="E476" t="s">
        <v>81</v>
      </c>
      <c r="F476">
        <v>2</v>
      </c>
      <c r="G476" t="s">
        <v>82</v>
      </c>
      <c r="H476" t="s">
        <v>80</v>
      </c>
      <c r="I476" s="2">
        <v>0.5</v>
      </c>
      <c r="J476" t="s">
        <v>82</v>
      </c>
      <c r="K476" t="s">
        <v>79</v>
      </c>
      <c r="L476" t="s">
        <v>16</v>
      </c>
      <c r="M476">
        <v>0</v>
      </c>
      <c r="N476">
        <v>6</v>
      </c>
      <c r="O476" t="s">
        <v>134</v>
      </c>
      <c r="P476" t="s">
        <v>16</v>
      </c>
      <c r="Q476" s="1">
        <v>0.7</v>
      </c>
      <c r="R476" t="s">
        <v>67</v>
      </c>
      <c r="S476" t="e">
        <f>IF(T476="","",INDEX('Backing 4'!U:U,MATCH(T476,'Backing 4'!T:T,0)))</f>
        <v>#N/A</v>
      </c>
      <c r="T476" t="str">
        <f t="shared" si="21"/>
        <v xml:space="preserve"> Junior Officer &amp; Sales &amp; Marketing</v>
      </c>
      <c r="U476" t="e">
        <f>IF(V476="","",INDEX('Backing 4'!Z:Z,MATCH(V476,'Backing 4'!Y:Y,0)))</f>
        <v>#N/A</v>
      </c>
      <c r="V476" t="str">
        <f t="shared" si="22"/>
        <v xml:space="preserve"> Junior Officer</v>
      </c>
      <c r="W476">
        <v>3</v>
      </c>
      <c r="X476" t="str">
        <f>IF(E476="Y","",IF(Y476="Y",INDEX('Backing 2'!B:B,MATCH(D476,'Backing 2'!C:C,0)),D476))</f>
        <v xml:space="preserve"> Junior Officer</v>
      </c>
      <c r="Y476" t="s">
        <v>81</v>
      </c>
      <c r="Z476">
        <v>3</v>
      </c>
      <c r="AA476" t="s">
        <v>69</v>
      </c>
      <c r="AB476">
        <v>25</v>
      </c>
      <c r="AC476" t="s">
        <v>31</v>
      </c>
      <c r="AD476" t="s">
        <v>74</v>
      </c>
      <c r="AE476" t="s">
        <v>74</v>
      </c>
      <c r="AF476" s="3">
        <v>42826</v>
      </c>
      <c r="AG476">
        <v>3</v>
      </c>
      <c r="AH476">
        <f t="shared" ca="1" si="23"/>
        <v>0.82325713856081606</v>
      </c>
    </row>
    <row r="477" spans="1:34">
      <c r="A477">
        <v>476</v>
      </c>
      <c r="B477" t="s">
        <v>7</v>
      </c>
      <c r="C477">
        <v>6</v>
      </c>
      <c r="D477" t="s">
        <v>134</v>
      </c>
      <c r="E477" t="s">
        <v>81</v>
      </c>
      <c r="F477">
        <v>3</v>
      </c>
      <c r="G477" t="s">
        <v>82</v>
      </c>
      <c r="H477" t="s">
        <v>80</v>
      </c>
      <c r="I477" s="2">
        <v>0.5</v>
      </c>
      <c r="J477" t="s">
        <v>82</v>
      </c>
      <c r="K477" t="s">
        <v>79</v>
      </c>
      <c r="L477" t="s">
        <v>14</v>
      </c>
      <c r="M477">
        <v>0</v>
      </c>
      <c r="N477">
        <v>6</v>
      </c>
      <c r="O477" t="s">
        <v>134</v>
      </c>
      <c r="P477" t="s">
        <v>14</v>
      </c>
      <c r="Q477" s="1" t="s">
        <v>68</v>
      </c>
      <c r="R477" t="s">
        <v>68</v>
      </c>
      <c r="S477" t="e">
        <f>IF(T477="","",INDEX('Backing 4'!U:U,MATCH(T477,'Backing 4'!T:T,0)))</f>
        <v>#N/A</v>
      </c>
      <c r="T477" t="str">
        <f t="shared" si="21"/>
        <v xml:space="preserve"> Junior Officer &amp; Operations</v>
      </c>
      <c r="U477" t="e">
        <f>IF(V477="","",INDEX('Backing 4'!Z:Z,MATCH(V477,'Backing 4'!Y:Y,0)))</f>
        <v>#N/A</v>
      </c>
      <c r="V477" t="str">
        <f t="shared" si="22"/>
        <v xml:space="preserve"> Junior Officer</v>
      </c>
      <c r="W477">
        <v>3</v>
      </c>
      <c r="X477" t="str">
        <f>IF(E477="Y","",IF(Y477="Y",INDEX('Backing 2'!B:B,MATCH(D477,'Backing 2'!C:C,0)),D477))</f>
        <v xml:space="preserve"> Junior Officer</v>
      </c>
      <c r="Y477" t="s">
        <v>81</v>
      </c>
      <c r="Z477">
        <v>2</v>
      </c>
      <c r="AA477" t="s">
        <v>69</v>
      </c>
      <c r="AB477">
        <v>20</v>
      </c>
      <c r="AC477" t="s">
        <v>30</v>
      </c>
      <c r="AD477" t="s">
        <v>74</v>
      </c>
      <c r="AE477" t="s">
        <v>74</v>
      </c>
      <c r="AF477" s="3">
        <v>42826</v>
      </c>
      <c r="AG477">
        <v>3</v>
      </c>
      <c r="AH477">
        <f t="shared" ca="1" si="23"/>
        <v>0.83198637225119965</v>
      </c>
    </row>
    <row r="478" spans="1:34">
      <c r="A478">
        <v>477</v>
      </c>
      <c r="B478" t="s">
        <v>7</v>
      </c>
      <c r="C478">
        <v>2</v>
      </c>
      <c r="D478" t="s">
        <v>136</v>
      </c>
      <c r="E478" t="s">
        <v>81</v>
      </c>
      <c r="F478">
        <v>2</v>
      </c>
      <c r="G478" t="s">
        <v>80</v>
      </c>
      <c r="H478" t="s">
        <v>80</v>
      </c>
      <c r="I478" s="2">
        <v>0.5</v>
      </c>
      <c r="J478" t="s">
        <v>82</v>
      </c>
      <c r="K478" t="s">
        <v>79</v>
      </c>
      <c r="L478" t="s">
        <v>15</v>
      </c>
      <c r="M478">
        <v>0</v>
      </c>
      <c r="N478">
        <v>1</v>
      </c>
      <c r="O478" t="s">
        <v>139</v>
      </c>
      <c r="P478" t="s">
        <v>15</v>
      </c>
      <c r="Q478" s="1" t="s">
        <v>68</v>
      </c>
      <c r="R478" t="s">
        <v>68</v>
      </c>
      <c r="S478" t="e">
        <f>IF(T478="","",INDEX('Backing 4'!U:U,MATCH(T478,'Backing 4'!T:T,0)))</f>
        <v>#N/A</v>
      </c>
      <c r="T478" t="str">
        <f t="shared" si="21"/>
        <v xml:space="preserve"> Director &amp; Internal Services</v>
      </c>
      <c r="U478" t="s">
        <v>120</v>
      </c>
      <c r="V478" t="str">
        <f t="shared" si="22"/>
        <v xml:space="preserve"> Director</v>
      </c>
      <c r="W478">
        <v>6</v>
      </c>
      <c r="X478" t="str">
        <f>IF(E478="Y","",IF(Y478="Y",INDEX('Backing 2'!B:B,MATCH(D478,'Backing 2'!C:C,0)),D478))</f>
        <v xml:space="preserve"> Director</v>
      </c>
      <c r="Y478" t="s">
        <v>81</v>
      </c>
      <c r="Z478">
        <v>2</v>
      </c>
      <c r="AA478" t="s">
        <v>71</v>
      </c>
      <c r="AB478">
        <v>44</v>
      </c>
      <c r="AC478" t="s">
        <v>19</v>
      </c>
      <c r="AD478" t="s">
        <v>19</v>
      </c>
      <c r="AE478" t="s">
        <v>19</v>
      </c>
      <c r="AF478" s="3">
        <v>41730</v>
      </c>
      <c r="AG478">
        <v>6</v>
      </c>
      <c r="AH478">
        <f t="shared" ca="1" si="23"/>
        <v>0.61936120435566677</v>
      </c>
    </row>
    <row r="479" spans="1:34">
      <c r="A479">
        <v>478</v>
      </c>
      <c r="B479" t="s">
        <v>7</v>
      </c>
      <c r="C479">
        <v>6</v>
      </c>
      <c r="D479" t="s">
        <v>134</v>
      </c>
      <c r="E479" t="s">
        <v>79</v>
      </c>
      <c r="F479">
        <v>0</v>
      </c>
      <c r="G479" t="s">
        <v>82</v>
      </c>
      <c r="H479" t="s">
        <v>82</v>
      </c>
      <c r="I479" s="2">
        <v>0.5</v>
      </c>
      <c r="J479" t="s">
        <v>82</v>
      </c>
      <c r="K479" t="s">
        <v>81</v>
      </c>
      <c r="L479" t="s">
        <v>14</v>
      </c>
      <c r="M479">
        <v>0</v>
      </c>
      <c r="N479">
        <v>6</v>
      </c>
      <c r="O479" t="s">
        <v>134</v>
      </c>
      <c r="P479" t="s">
        <v>14</v>
      </c>
      <c r="Q479" s="1" t="s">
        <v>68</v>
      </c>
      <c r="R479" t="s">
        <v>68</v>
      </c>
      <c r="S479" t="e">
        <f>IF(T479="","",INDEX('Backing 4'!U:U,MATCH(T479,'Backing 4'!T:T,0)))</f>
        <v>#N/A</v>
      </c>
      <c r="T479" t="str">
        <f t="shared" si="21"/>
        <v xml:space="preserve"> Junior Officer &amp; Operations</v>
      </c>
      <c r="U479" t="e">
        <f>IF(V479="","",INDEX('Backing 4'!Z:Z,MATCH(V479,'Backing 4'!Y:Y,0)))</f>
        <v>#N/A</v>
      </c>
      <c r="V479" t="str">
        <f t="shared" si="22"/>
        <v xml:space="preserve"> Junior Officer</v>
      </c>
      <c r="W479">
        <v>0</v>
      </c>
      <c r="X479" t="str">
        <f>IF(E479="Y","",IF(Y479="Y",INDEX('Backing 2'!B:B,MATCH(D479,'Backing 2'!C:C,0)),D479))</f>
        <v/>
      </c>
      <c r="Y479" t="s">
        <v>81</v>
      </c>
      <c r="Z479">
        <v>0</v>
      </c>
      <c r="AA479" t="s">
        <v>69</v>
      </c>
      <c r="AB479">
        <v>25</v>
      </c>
      <c r="AC479" t="s">
        <v>19</v>
      </c>
      <c r="AD479" t="s">
        <v>19</v>
      </c>
      <c r="AE479" t="s">
        <v>19</v>
      </c>
      <c r="AF479" s="3">
        <v>43922</v>
      </c>
      <c r="AG479">
        <v>0</v>
      </c>
      <c r="AH479">
        <f t="shared" ca="1" si="23"/>
        <v>0.80222297133815523</v>
      </c>
    </row>
    <row r="480" spans="1:34">
      <c r="A480">
        <v>479</v>
      </c>
      <c r="B480" t="s">
        <v>8</v>
      </c>
      <c r="C480">
        <v>6</v>
      </c>
      <c r="D480" s="4" t="s">
        <v>134</v>
      </c>
      <c r="E480" t="s">
        <v>81</v>
      </c>
      <c r="F480">
        <v>4</v>
      </c>
      <c r="G480" t="s">
        <v>82</v>
      </c>
      <c r="H480" t="s">
        <v>82</v>
      </c>
      <c r="I480" s="2">
        <v>0.5</v>
      </c>
      <c r="J480" t="s">
        <v>80</v>
      </c>
      <c r="K480" t="s">
        <v>79</v>
      </c>
      <c r="L480" t="s">
        <v>14</v>
      </c>
      <c r="M480" t="s">
        <v>83</v>
      </c>
      <c r="N480">
        <v>0</v>
      </c>
      <c r="O480" t="s">
        <v>142</v>
      </c>
      <c r="P480" t="s">
        <v>14</v>
      </c>
      <c r="Q480" s="1" t="s">
        <v>68</v>
      </c>
      <c r="R480" t="s">
        <v>68</v>
      </c>
      <c r="S480" t="e">
        <f>IF(T480="","",INDEX('Backing 4'!U:U,MATCH(T480,'Backing 4'!T:T,0)))</f>
        <v>#N/A</v>
      </c>
      <c r="T480" t="str">
        <f t="shared" si="21"/>
        <v xml:space="preserve"> Junior Officer &amp; Operations</v>
      </c>
      <c r="U480" t="e">
        <f>IF(V480="","",INDEX('Backing 4'!Z:Z,MATCH(V480,'Backing 4'!Y:Y,0)))</f>
        <v>#N/A</v>
      </c>
      <c r="V480" t="str">
        <f t="shared" si="22"/>
        <v xml:space="preserve"> Junior Officer</v>
      </c>
      <c r="W480">
        <v>3</v>
      </c>
      <c r="X480" t="str">
        <f>IF(E480="Y","",IF(Y480="Y",INDEX('Backing 2'!B:B,MATCH(D480,'Backing 2'!C:C,0)),D480))</f>
        <v xml:space="preserve"> Junior Officer</v>
      </c>
      <c r="Y480" t="s">
        <v>81</v>
      </c>
      <c r="Z480">
        <v>4</v>
      </c>
      <c r="AA480" t="s">
        <v>72</v>
      </c>
      <c r="AB480">
        <v>53</v>
      </c>
      <c r="AC480" t="s">
        <v>19</v>
      </c>
      <c r="AD480" t="s">
        <v>19</v>
      </c>
      <c r="AE480" t="s">
        <v>19</v>
      </c>
      <c r="AF480" s="3">
        <v>42826</v>
      </c>
      <c r="AG480">
        <v>3</v>
      </c>
      <c r="AH480">
        <f t="shared" ca="1" si="23"/>
        <v>0.83203929713893077</v>
      </c>
    </row>
    <row r="481" spans="1:34">
      <c r="A481">
        <v>480</v>
      </c>
      <c r="B481" t="s">
        <v>8</v>
      </c>
      <c r="C481">
        <v>3</v>
      </c>
      <c r="D481" t="s">
        <v>137</v>
      </c>
      <c r="E481" t="s">
        <v>79</v>
      </c>
      <c r="F481">
        <v>0</v>
      </c>
      <c r="G481" t="s">
        <v>82</v>
      </c>
      <c r="H481" t="s">
        <v>82</v>
      </c>
      <c r="I481" s="2">
        <v>0.5</v>
      </c>
      <c r="J481" t="s">
        <v>82</v>
      </c>
      <c r="K481" t="s">
        <v>81</v>
      </c>
      <c r="L481" t="s">
        <v>16</v>
      </c>
      <c r="M481">
        <v>0</v>
      </c>
      <c r="N481">
        <v>3</v>
      </c>
      <c r="O481" t="s">
        <v>137</v>
      </c>
      <c r="P481" t="s">
        <v>16</v>
      </c>
      <c r="Q481" s="1" t="s">
        <v>68</v>
      </c>
      <c r="R481" t="s">
        <v>68</v>
      </c>
      <c r="S481" t="e">
        <f>IF(T481="","",INDEX('Backing 4'!U:U,MATCH(T481,'Backing 4'!T:T,0)))</f>
        <v>#N/A</v>
      </c>
      <c r="T481" t="str">
        <f t="shared" si="21"/>
        <v xml:space="preserve"> Senior Manager &amp; Sales &amp; Marketing</v>
      </c>
      <c r="U481" t="e">
        <f>IF(V481="","",INDEX('Backing 4'!Z:Z,MATCH(V481,'Backing 4'!Y:Y,0)))</f>
        <v>#N/A</v>
      </c>
      <c r="V481" t="str">
        <f t="shared" si="22"/>
        <v xml:space="preserve"> Senior Manager</v>
      </c>
      <c r="W481">
        <v>0</v>
      </c>
      <c r="X481" t="str">
        <f>IF(E481="Y","",IF(Y481="Y",INDEX('Backing 2'!B:B,MATCH(D481,'Backing 2'!C:C,0)),D481))</f>
        <v/>
      </c>
      <c r="Y481" t="s">
        <v>81</v>
      </c>
      <c r="Z481">
        <v>0</v>
      </c>
      <c r="AA481" t="s">
        <v>70</v>
      </c>
      <c r="AB481">
        <v>38</v>
      </c>
      <c r="AC481" t="s">
        <v>19</v>
      </c>
      <c r="AD481" t="s">
        <v>19</v>
      </c>
      <c r="AE481" t="s">
        <v>19</v>
      </c>
      <c r="AF481" s="3">
        <v>43922</v>
      </c>
      <c r="AG481">
        <v>0</v>
      </c>
      <c r="AH481">
        <f t="shared" ca="1" si="23"/>
        <v>0.44456996437479113</v>
      </c>
    </row>
    <row r="482" spans="1:34">
      <c r="A482">
        <v>481</v>
      </c>
      <c r="B482" t="s">
        <v>8</v>
      </c>
      <c r="C482">
        <v>3</v>
      </c>
      <c r="D482" t="s">
        <v>137</v>
      </c>
      <c r="E482" t="s">
        <v>81</v>
      </c>
      <c r="F482">
        <v>2</v>
      </c>
      <c r="G482" t="s">
        <v>82</v>
      </c>
      <c r="H482" t="s">
        <v>80</v>
      </c>
      <c r="I482" s="2">
        <v>0.5</v>
      </c>
      <c r="J482" t="s">
        <v>82</v>
      </c>
      <c r="K482" t="s">
        <v>79</v>
      </c>
      <c r="L482" t="s">
        <v>15</v>
      </c>
      <c r="M482">
        <v>0</v>
      </c>
      <c r="N482">
        <v>3</v>
      </c>
      <c r="O482" t="s">
        <v>137</v>
      </c>
      <c r="P482" t="s">
        <v>15</v>
      </c>
      <c r="Q482" s="1" t="s">
        <v>68</v>
      </c>
      <c r="R482" t="s">
        <v>68</v>
      </c>
      <c r="S482" t="e">
        <f>IF(T482="","",INDEX('Backing 4'!U:U,MATCH(T482,'Backing 4'!T:T,0)))</f>
        <v>#N/A</v>
      </c>
      <c r="T482" t="str">
        <f t="shared" si="21"/>
        <v xml:space="preserve"> Senior Manager &amp; Internal Services</v>
      </c>
      <c r="U482" t="e">
        <f>IF(V482="","",INDEX('Backing 4'!Z:Z,MATCH(V482,'Backing 4'!Y:Y,0)))</f>
        <v>#N/A</v>
      </c>
      <c r="V482" t="str">
        <f t="shared" si="22"/>
        <v xml:space="preserve"> Senior Manager</v>
      </c>
      <c r="W482">
        <v>2</v>
      </c>
      <c r="X482" t="str">
        <f>IF(E482="Y","",IF(Y482="Y",INDEX('Backing 2'!B:B,MATCH(D482,'Backing 2'!C:C,0)),D482))</f>
        <v xml:space="preserve"> Senior Manager</v>
      </c>
      <c r="Y482" t="s">
        <v>81</v>
      </c>
      <c r="Z482">
        <v>3</v>
      </c>
      <c r="AA482" t="s">
        <v>70</v>
      </c>
      <c r="AB482">
        <v>37</v>
      </c>
      <c r="AC482" t="s">
        <v>26</v>
      </c>
      <c r="AD482" t="s">
        <v>74</v>
      </c>
      <c r="AE482" t="s">
        <v>74</v>
      </c>
      <c r="AF482" s="3">
        <v>42461</v>
      </c>
      <c r="AG482">
        <v>4</v>
      </c>
      <c r="AH482">
        <f t="shared" ca="1" si="23"/>
        <v>0.29728425708608197</v>
      </c>
    </row>
    <row r="483" spans="1:34">
      <c r="A483">
        <v>482</v>
      </c>
      <c r="B483" t="s">
        <v>8</v>
      </c>
      <c r="C483">
        <v>3</v>
      </c>
      <c r="D483" t="s">
        <v>137</v>
      </c>
      <c r="E483" t="s">
        <v>81</v>
      </c>
      <c r="F483">
        <v>3</v>
      </c>
      <c r="G483" t="s">
        <v>82</v>
      </c>
      <c r="H483" t="s">
        <v>80</v>
      </c>
      <c r="I483" s="2">
        <v>0.5</v>
      </c>
      <c r="J483" t="s">
        <v>82</v>
      </c>
      <c r="K483" t="s">
        <v>79</v>
      </c>
      <c r="L483" t="s">
        <v>14</v>
      </c>
      <c r="M483">
        <v>0</v>
      </c>
      <c r="N483">
        <v>3</v>
      </c>
      <c r="O483" t="s">
        <v>137</v>
      </c>
      <c r="P483" t="s">
        <v>14</v>
      </c>
      <c r="Q483" s="1" t="s">
        <v>68</v>
      </c>
      <c r="R483" t="s">
        <v>68</v>
      </c>
      <c r="S483" t="e">
        <f>IF(T483="","",INDEX('Backing 4'!U:U,MATCH(T483,'Backing 4'!T:T,0)))</f>
        <v>#N/A</v>
      </c>
      <c r="T483" t="str">
        <f t="shared" si="21"/>
        <v xml:space="preserve"> Senior Manager &amp; Operations</v>
      </c>
      <c r="U483" t="e">
        <f>IF(V483="","",INDEX('Backing 4'!Z:Z,MATCH(V483,'Backing 4'!Y:Y,0)))</f>
        <v>#N/A</v>
      </c>
      <c r="V483" t="str">
        <f t="shared" si="22"/>
        <v xml:space="preserve"> Senior Manager</v>
      </c>
      <c r="W483">
        <v>3</v>
      </c>
      <c r="X483" t="str">
        <f>IF(E483="Y","",IF(Y483="Y",INDEX('Backing 2'!B:B,MATCH(D483,'Backing 2'!C:C,0)),D483))</f>
        <v xml:space="preserve"> Senior Manager</v>
      </c>
      <c r="Y483" t="s">
        <v>81</v>
      </c>
      <c r="Z483">
        <v>3</v>
      </c>
      <c r="AA483" t="s">
        <v>70</v>
      </c>
      <c r="AB483">
        <v>39</v>
      </c>
      <c r="AC483" t="s">
        <v>19</v>
      </c>
      <c r="AD483" t="s">
        <v>19</v>
      </c>
      <c r="AE483" t="s">
        <v>19</v>
      </c>
      <c r="AF483" s="3">
        <v>40634</v>
      </c>
      <c r="AG483">
        <v>9</v>
      </c>
      <c r="AH483">
        <f t="shared" ca="1" si="23"/>
        <v>2.9503805168646369E-2</v>
      </c>
    </row>
    <row r="484" spans="1:34">
      <c r="A484">
        <v>483</v>
      </c>
      <c r="B484" t="s">
        <v>7</v>
      </c>
      <c r="C484">
        <v>6</v>
      </c>
      <c r="D484" s="4" t="s">
        <v>134</v>
      </c>
      <c r="E484" t="s">
        <v>81</v>
      </c>
      <c r="F484">
        <v>3</v>
      </c>
      <c r="G484" t="s">
        <v>82</v>
      </c>
      <c r="H484" t="s">
        <v>82</v>
      </c>
      <c r="I484" s="2">
        <v>0.5</v>
      </c>
      <c r="J484" t="s">
        <v>80</v>
      </c>
      <c r="K484" t="s">
        <v>79</v>
      </c>
      <c r="L484" t="s">
        <v>14</v>
      </c>
      <c r="M484" t="s">
        <v>83</v>
      </c>
      <c r="N484">
        <v>0</v>
      </c>
      <c r="O484" t="s">
        <v>142</v>
      </c>
      <c r="P484" t="s">
        <v>14</v>
      </c>
      <c r="Q484" s="1">
        <v>0.5</v>
      </c>
      <c r="R484" t="s">
        <v>67</v>
      </c>
      <c r="S484" t="e">
        <f>IF(T484="","",INDEX('Backing 4'!U:U,MATCH(T484,'Backing 4'!T:T,0)))</f>
        <v>#N/A</v>
      </c>
      <c r="T484" t="str">
        <f t="shared" si="21"/>
        <v xml:space="preserve"> Junior Officer &amp; Operations</v>
      </c>
      <c r="U484" t="e">
        <f>IF(V484="","",INDEX('Backing 4'!Z:Z,MATCH(V484,'Backing 4'!Y:Y,0)))</f>
        <v>#N/A</v>
      </c>
      <c r="V484" t="str">
        <f t="shared" si="22"/>
        <v xml:space="preserve"> Junior Officer</v>
      </c>
      <c r="W484">
        <v>4</v>
      </c>
      <c r="X484" t="str">
        <f>IF(E484="Y","",IF(Y484="Y",INDEX('Backing 2'!B:B,MATCH(D484,'Backing 2'!C:C,0)),D484))</f>
        <v xml:space="preserve"> Junior Officer</v>
      </c>
      <c r="Y484" t="s">
        <v>81</v>
      </c>
      <c r="Z484">
        <v>3</v>
      </c>
      <c r="AA484" t="s">
        <v>70</v>
      </c>
      <c r="AB484">
        <v>36</v>
      </c>
      <c r="AC484" t="s">
        <v>26</v>
      </c>
      <c r="AD484" t="s">
        <v>74</v>
      </c>
      <c r="AE484" t="s">
        <v>74</v>
      </c>
      <c r="AF484" s="3">
        <v>42461</v>
      </c>
      <c r="AG484">
        <v>4</v>
      </c>
      <c r="AH484">
        <f t="shared" ca="1" si="23"/>
        <v>0.45547753678107294</v>
      </c>
    </row>
    <row r="485" spans="1:34">
      <c r="A485">
        <v>484</v>
      </c>
      <c r="B485" t="s">
        <v>8</v>
      </c>
      <c r="C485">
        <v>1</v>
      </c>
      <c r="D485" t="s">
        <v>139</v>
      </c>
      <c r="E485" t="s">
        <v>79</v>
      </c>
      <c r="F485">
        <v>0</v>
      </c>
      <c r="G485" t="s">
        <v>82</v>
      </c>
      <c r="H485" t="s">
        <v>82</v>
      </c>
      <c r="I485" s="2">
        <v>0.5</v>
      </c>
      <c r="J485" t="s">
        <v>82</v>
      </c>
      <c r="K485" t="s">
        <v>81</v>
      </c>
      <c r="L485" t="s">
        <v>17</v>
      </c>
      <c r="M485">
        <v>0</v>
      </c>
      <c r="N485">
        <v>1</v>
      </c>
      <c r="O485" t="s">
        <v>139</v>
      </c>
      <c r="P485" t="s">
        <v>17</v>
      </c>
      <c r="Q485" s="1" t="s">
        <v>68</v>
      </c>
      <c r="R485" t="s">
        <v>68</v>
      </c>
      <c r="S485" t="e">
        <f>IF(T485="","",INDEX('Backing 4'!U:U,MATCH(T485,'Backing 4'!T:T,0)))</f>
        <v>#N/A</v>
      </c>
      <c r="T485" t="str">
        <f t="shared" si="21"/>
        <v xml:space="preserve"> Executive &amp; Strategy</v>
      </c>
      <c r="U485" t="e">
        <f>IF(V485="","",INDEX('Backing 4'!Z:Z,MATCH(V485,'Backing 4'!Y:Y,0)))</f>
        <v>#N/A</v>
      </c>
      <c r="V485" t="str">
        <f t="shared" si="22"/>
        <v xml:space="preserve"> Executive</v>
      </c>
      <c r="W485">
        <v>0</v>
      </c>
      <c r="X485" t="str">
        <f>IF(E485="Y","",IF(Y485="Y",INDEX('Backing 2'!B:B,MATCH(D485,'Backing 2'!C:C,0)),D485))</f>
        <v/>
      </c>
      <c r="Y485" t="s">
        <v>81</v>
      </c>
      <c r="Z485">
        <v>0</v>
      </c>
      <c r="AA485" t="s">
        <v>73</v>
      </c>
      <c r="AB485">
        <v>61</v>
      </c>
      <c r="AC485" t="s">
        <v>25</v>
      </c>
      <c r="AD485" t="s">
        <v>76</v>
      </c>
      <c r="AE485" t="s">
        <v>78</v>
      </c>
      <c r="AF485" s="3">
        <v>43922</v>
      </c>
      <c r="AG485">
        <v>0</v>
      </c>
      <c r="AH485">
        <f t="shared" ca="1" si="23"/>
        <v>0.49663829041249741</v>
      </c>
    </row>
    <row r="486" spans="1:34">
      <c r="A486">
        <v>485</v>
      </c>
      <c r="B486" t="s">
        <v>8</v>
      </c>
      <c r="C486">
        <v>4</v>
      </c>
      <c r="D486" t="s">
        <v>135</v>
      </c>
      <c r="E486" t="s">
        <v>81</v>
      </c>
      <c r="F486">
        <v>3</v>
      </c>
      <c r="G486" t="s">
        <v>82</v>
      </c>
      <c r="H486" t="s">
        <v>80</v>
      </c>
      <c r="I486" s="2">
        <v>0.5</v>
      </c>
      <c r="J486" t="s">
        <v>82</v>
      </c>
      <c r="K486" t="s">
        <v>79</v>
      </c>
      <c r="L486" t="s">
        <v>14</v>
      </c>
      <c r="M486">
        <v>0</v>
      </c>
      <c r="N486">
        <v>4</v>
      </c>
      <c r="O486" t="s">
        <v>135</v>
      </c>
      <c r="P486" t="s">
        <v>14</v>
      </c>
      <c r="Q486" s="1" t="s">
        <v>68</v>
      </c>
      <c r="R486" t="s">
        <v>68</v>
      </c>
      <c r="S486" t="e">
        <f>IF(T486="","",INDEX('Backing 4'!U:U,MATCH(T486,'Backing 4'!T:T,0)))</f>
        <v>#N/A</v>
      </c>
      <c r="T486" t="str">
        <f t="shared" si="21"/>
        <v xml:space="preserve"> Manager &amp; Operations</v>
      </c>
      <c r="U486" t="e">
        <f>IF(V486="","",INDEX('Backing 4'!Z:Z,MATCH(V486,'Backing 4'!Y:Y,0)))</f>
        <v>#N/A</v>
      </c>
      <c r="V486" t="str">
        <f t="shared" si="22"/>
        <v xml:space="preserve"> Manager</v>
      </c>
      <c r="W486">
        <v>1</v>
      </c>
      <c r="X486" t="e">
        <f>IF(E486="Y","",IF(Y486="Y",INDEX('Backing 2'!B:B,MATCH(D486,'Backing 2'!C:C,0)),D486))</f>
        <v>#N/A</v>
      </c>
      <c r="Y486" t="s">
        <v>79</v>
      </c>
      <c r="Z486">
        <v>1</v>
      </c>
      <c r="AA486" t="s">
        <v>70</v>
      </c>
      <c r="AB486">
        <v>34</v>
      </c>
      <c r="AC486" t="s">
        <v>30</v>
      </c>
      <c r="AD486" t="s">
        <v>74</v>
      </c>
      <c r="AE486" t="s">
        <v>74</v>
      </c>
      <c r="AF486" s="3">
        <v>41365</v>
      </c>
      <c r="AG486">
        <v>7</v>
      </c>
      <c r="AH486">
        <f t="shared" ca="1" si="23"/>
        <v>0.41235760017815348</v>
      </c>
    </row>
    <row r="487" spans="1:34">
      <c r="A487">
        <v>486</v>
      </c>
      <c r="B487" t="s">
        <v>7</v>
      </c>
      <c r="C487">
        <v>6</v>
      </c>
      <c r="D487" s="4" t="s">
        <v>134</v>
      </c>
      <c r="E487" t="s">
        <v>81</v>
      </c>
      <c r="F487">
        <v>2</v>
      </c>
      <c r="G487" t="s">
        <v>82</v>
      </c>
      <c r="H487" t="s">
        <v>82</v>
      </c>
      <c r="I487" s="2">
        <v>0.5</v>
      </c>
      <c r="J487" t="s">
        <v>80</v>
      </c>
      <c r="K487" t="s">
        <v>79</v>
      </c>
      <c r="L487" t="s">
        <v>14</v>
      </c>
      <c r="M487" t="s">
        <v>83</v>
      </c>
      <c r="N487">
        <v>0</v>
      </c>
      <c r="O487" t="s">
        <v>142</v>
      </c>
      <c r="P487" t="s">
        <v>14</v>
      </c>
      <c r="Q487" s="1" t="s">
        <v>68</v>
      </c>
      <c r="R487" t="s">
        <v>68</v>
      </c>
      <c r="S487" t="e">
        <f>IF(T487="","",INDEX('Backing 4'!U:U,MATCH(T487,'Backing 4'!T:T,0)))</f>
        <v>#N/A</v>
      </c>
      <c r="T487" t="str">
        <f t="shared" si="21"/>
        <v xml:space="preserve"> Junior Officer &amp; Operations</v>
      </c>
      <c r="U487" t="e">
        <f>IF(V487="","",INDEX('Backing 4'!Z:Z,MATCH(V487,'Backing 4'!Y:Y,0)))</f>
        <v>#N/A</v>
      </c>
      <c r="V487" t="str">
        <f t="shared" si="22"/>
        <v xml:space="preserve"> Junior Officer</v>
      </c>
      <c r="W487">
        <v>2</v>
      </c>
      <c r="X487" t="str">
        <f>IF(E487="Y","",IF(Y487="Y",INDEX('Backing 2'!B:B,MATCH(D487,'Backing 2'!C:C,0)),D487))</f>
        <v xml:space="preserve"> Junior Officer</v>
      </c>
      <c r="Y487" t="s">
        <v>81</v>
      </c>
      <c r="Z487">
        <v>3</v>
      </c>
      <c r="AA487" t="s">
        <v>71</v>
      </c>
      <c r="AB487">
        <v>47</v>
      </c>
      <c r="AC487" t="s">
        <v>30</v>
      </c>
      <c r="AD487" t="s">
        <v>74</v>
      </c>
      <c r="AE487" t="s">
        <v>74</v>
      </c>
      <c r="AF487" s="3">
        <v>43191</v>
      </c>
      <c r="AG487">
        <v>2</v>
      </c>
      <c r="AH487">
        <f t="shared" ca="1" si="23"/>
        <v>0.76414968872608113</v>
      </c>
    </row>
    <row r="488" spans="1:34">
      <c r="A488">
        <v>487</v>
      </c>
      <c r="B488" t="s">
        <v>7</v>
      </c>
      <c r="C488">
        <v>4</v>
      </c>
      <c r="D488" t="s">
        <v>135</v>
      </c>
      <c r="E488" t="s">
        <v>81</v>
      </c>
      <c r="F488">
        <v>3</v>
      </c>
      <c r="G488" t="s">
        <v>82</v>
      </c>
      <c r="H488" t="s">
        <v>80</v>
      </c>
      <c r="I488" s="2">
        <v>0.5</v>
      </c>
      <c r="J488" t="s">
        <v>82</v>
      </c>
      <c r="K488" t="s">
        <v>79</v>
      </c>
      <c r="L488" t="s">
        <v>15</v>
      </c>
      <c r="M488">
        <v>0</v>
      </c>
      <c r="N488">
        <v>4</v>
      </c>
      <c r="O488" t="s">
        <v>135</v>
      </c>
      <c r="P488" t="s">
        <v>15</v>
      </c>
      <c r="Q488" s="1" t="s">
        <v>68</v>
      </c>
      <c r="R488" t="s">
        <v>68</v>
      </c>
      <c r="S488" t="e">
        <f>IF(T488="","",INDEX('Backing 4'!U:U,MATCH(T488,'Backing 4'!T:T,0)))</f>
        <v>#N/A</v>
      </c>
      <c r="T488" t="str">
        <f t="shared" si="21"/>
        <v xml:space="preserve"> Manager &amp; Internal Services</v>
      </c>
      <c r="U488" t="e">
        <f>IF(V488="","",INDEX('Backing 4'!Z:Z,MATCH(V488,'Backing 4'!Y:Y,0)))</f>
        <v>#N/A</v>
      </c>
      <c r="V488" t="str">
        <f t="shared" si="22"/>
        <v xml:space="preserve"> Manager</v>
      </c>
      <c r="W488">
        <v>1</v>
      </c>
      <c r="X488" t="e">
        <f>IF(E488="Y","",IF(Y488="Y",INDEX('Backing 2'!B:B,MATCH(D488,'Backing 2'!C:C,0)),D488))</f>
        <v>#N/A</v>
      </c>
      <c r="Y488" t="s">
        <v>79</v>
      </c>
      <c r="Z488">
        <v>2</v>
      </c>
      <c r="AA488" t="s">
        <v>70</v>
      </c>
      <c r="AB488">
        <v>39</v>
      </c>
      <c r="AC488" t="s">
        <v>26</v>
      </c>
      <c r="AD488" t="s">
        <v>74</v>
      </c>
      <c r="AE488" t="s">
        <v>74</v>
      </c>
      <c r="AF488" s="3">
        <v>42095</v>
      </c>
      <c r="AG488">
        <v>5</v>
      </c>
      <c r="AH488">
        <f t="shared" ca="1" si="23"/>
        <v>0.32009231603953392</v>
      </c>
    </row>
    <row r="489" spans="1:34">
      <c r="A489">
        <v>488</v>
      </c>
      <c r="B489" t="s">
        <v>7</v>
      </c>
      <c r="C489">
        <v>6</v>
      </c>
      <c r="D489" t="s">
        <v>134</v>
      </c>
      <c r="E489" t="s">
        <v>81</v>
      </c>
      <c r="F489">
        <v>2</v>
      </c>
      <c r="G489" t="s">
        <v>82</v>
      </c>
      <c r="H489" t="s">
        <v>80</v>
      </c>
      <c r="I489" s="2">
        <v>0.5</v>
      </c>
      <c r="J489" t="s">
        <v>82</v>
      </c>
      <c r="K489" t="s">
        <v>79</v>
      </c>
      <c r="L489" t="s">
        <v>16</v>
      </c>
      <c r="M489">
        <v>0</v>
      </c>
      <c r="N489">
        <v>6</v>
      </c>
      <c r="O489" t="s">
        <v>134</v>
      </c>
      <c r="P489" t="s">
        <v>16</v>
      </c>
      <c r="Q489" s="1" t="s">
        <v>68</v>
      </c>
      <c r="R489" t="s">
        <v>68</v>
      </c>
      <c r="S489" t="e">
        <f>IF(T489="","",INDEX('Backing 4'!U:U,MATCH(T489,'Backing 4'!T:T,0)))</f>
        <v>#N/A</v>
      </c>
      <c r="T489" t="str">
        <f t="shared" si="21"/>
        <v xml:space="preserve"> Junior Officer &amp; Sales &amp; Marketing</v>
      </c>
      <c r="U489" t="e">
        <f>IF(V489="","",INDEX('Backing 4'!Z:Z,MATCH(V489,'Backing 4'!Y:Y,0)))</f>
        <v>#N/A</v>
      </c>
      <c r="V489" t="str">
        <f t="shared" si="22"/>
        <v xml:space="preserve"> Junior Officer</v>
      </c>
      <c r="W489">
        <v>1</v>
      </c>
      <c r="X489" t="str">
        <f>IF(E489="Y","",IF(Y489="Y",INDEX('Backing 2'!B:B,MATCH(D489,'Backing 2'!C:C,0)),D489))</f>
        <v xml:space="preserve"> Junior Officer</v>
      </c>
      <c r="Y489" t="s">
        <v>81</v>
      </c>
      <c r="Z489">
        <v>0</v>
      </c>
      <c r="AA489" t="s">
        <v>69</v>
      </c>
      <c r="AB489">
        <v>26</v>
      </c>
      <c r="AC489" t="s">
        <v>19</v>
      </c>
      <c r="AD489" t="s">
        <v>19</v>
      </c>
      <c r="AE489" t="s">
        <v>19</v>
      </c>
      <c r="AF489" s="3">
        <v>43556</v>
      </c>
      <c r="AG489">
        <v>1</v>
      </c>
      <c r="AH489">
        <f t="shared" ca="1" si="23"/>
        <v>0.15474990524779075</v>
      </c>
    </row>
    <row r="490" spans="1:34">
      <c r="A490">
        <v>489</v>
      </c>
      <c r="B490" t="s">
        <v>8</v>
      </c>
      <c r="C490">
        <v>4</v>
      </c>
      <c r="D490" t="s">
        <v>135</v>
      </c>
      <c r="E490" t="s">
        <v>79</v>
      </c>
      <c r="F490">
        <v>0</v>
      </c>
      <c r="G490" t="s">
        <v>82</v>
      </c>
      <c r="H490" t="s">
        <v>82</v>
      </c>
      <c r="I490" s="2">
        <v>0.5</v>
      </c>
      <c r="J490" t="s">
        <v>82</v>
      </c>
      <c r="K490" t="s">
        <v>81</v>
      </c>
      <c r="L490" t="s">
        <v>14</v>
      </c>
      <c r="M490">
        <v>0</v>
      </c>
      <c r="N490">
        <v>4</v>
      </c>
      <c r="O490" t="s">
        <v>135</v>
      </c>
      <c r="P490" t="s">
        <v>14</v>
      </c>
      <c r="Q490" s="1" t="s">
        <v>68</v>
      </c>
      <c r="R490" t="s">
        <v>68</v>
      </c>
      <c r="S490" t="e">
        <f>IF(T490="","",INDEX('Backing 4'!U:U,MATCH(T490,'Backing 4'!T:T,0)))</f>
        <v>#N/A</v>
      </c>
      <c r="T490" t="str">
        <f t="shared" si="21"/>
        <v xml:space="preserve"> Manager &amp; Operations</v>
      </c>
      <c r="U490" t="e">
        <f>IF(V490="","",INDEX('Backing 4'!Z:Z,MATCH(V490,'Backing 4'!Y:Y,0)))</f>
        <v>#N/A</v>
      </c>
      <c r="V490" t="str">
        <f t="shared" si="22"/>
        <v xml:space="preserve"> Manager</v>
      </c>
      <c r="W490">
        <v>0</v>
      </c>
      <c r="X490" t="str">
        <f>IF(E490="Y","",IF(Y490="Y",INDEX('Backing 2'!B:B,MATCH(D490,'Backing 2'!C:C,0)),D490))</f>
        <v/>
      </c>
      <c r="Y490" t="s">
        <v>81</v>
      </c>
      <c r="Z490">
        <v>0</v>
      </c>
      <c r="AA490" t="s">
        <v>70</v>
      </c>
      <c r="AB490">
        <v>30</v>
      </c>
      <c r="AC490" t="s">
        <v>19</v>
      </c>
      <c r="AD490" t="s">
        <v>19</v>
      </c>
      <c r="AE490" t="s">
        <v>19</v>
      </c>
      <c r="AF490" s="3">
        <v>43922</v>
      </c>
      <c r="AG490">
        <v>0</v>
      </c>
      <c r="AH490">
        <f t="shared" ca="1" si="23"/>
        <v>4.5783217203128723E-2</v>
      </c>
    </row>
    <row r="491" spans="1:34">
      <c r="A491">
        <v>490</v>
      </c>
      <c r="B491" t="s">
        <v>8</v>
      </c>
      <c r="C491">
        <v>3</v>
      </c>
      <c r="D491" t="s">
        <v>137</v>
      </c>
      <c r="E491" t="s">
        <v>79</v>
      </c>
      <c r="F491">
        <v>0</v>
      </c>
      <c r="G491" t="s">
        <v>82</v>
      </c>
      <c r="H491" t="s">
        <v>82</v>
      </c>
      <c r="I491" s="2">
        <v>0.5</v>
      </c>
      <c r="J491" t="s">
        <v>82</v>
      </c>
      <c r="K491" t="s">
        <v>81</v>
      </c>
      <c r="L491" t="s">
        <v>12</v>
      </c>
      <c r="M491">
        <v>0</v>
      </c>
      <c r="N491">
        <v>3</v>
      </c>
      <c r="O491" t="s">
        <v>137</v>
      </c>
      <c r="P491" t="s">
        <v>12</v>
      </c>
      <c r="Q491" s="1" t="s">
        <v>68</v>
      </c>
      <c r="R491" t="s">
        <v>68</v>
      </c>
      <c r="S491" t="e">
        <f>IF(T491="","",INDEX('Backing 4'!U:U,MATCH(T491,'Backing 4'!T:T,0)))</f>
        <v>#N/A</v>
      </c>
      <c r="T491" t="str">
        <f t="shared" si="21"/>
        <v xml:space="preserve"> Senior Manager &amp; Finance</v>
      </c>
      <c r="U491" t="e">
        <f>IF(V491="","",INDEX('Backing 4'!Z:Z,MATCH(V491,'Backing 4'!Y:Y,0)))</f>
        <v>#N/A</v>
      </c>
      <c r="V491" t="str">
        <f t="shared" si="22"/>
        <v xml:space="preserve"> Senior Manager</v>
      </c>
      <c r="W491">
        <v>0</v>
      </c>
      <c r="X491" t="str">
        <f>IF(E491="Y","",IF(Y491="Y",INDEX('Backing 2'!B:B,MATCH(D491,'Backing 2'!C:C,0)),D491))</f>
        <v/>
      </c>
      <c r="Y491" t="s">
        <v>81</v>
      </c>
      <c r="Z491">
        <v>0</v>
      </c>
      <c r="AA491" t="s">
        <v>70</v>
      </c>
      <c r="AB491">
        <v>33</v>
      </c>
      <c r="AC491" t="s">
        <v>19</v>
      </c>
      <c r="AD491" t="s">
        <v>19</v>
      </c>
      <c r="AE491" t="s">
        <v>19</v>
      </c>
      <c r="AF491" s="3">
        <v>43922</v>
      </c>
      <c r="AG491">
        <v>0</v>
      </c>
      <c r="AH491">
        <f t="shared" ca="1" si="23"/>
        <v>0.6678980860020759</v>
      </c>
    </row>
    <row r="492" spans="1:34">
      <c r="A492">
        <v>491</v>
      </c>
      <c r="B492" t="s">
        <v>7</v>
      </c>
      <c r="C492">
        <v>5</v>
      </c>
      <c r="D492" t="s">
        <v>138</v>
      </c>
      <c r="E492" t="s">
        <v>79</v>
      </c>
      <c r="F492">
        <v>0</v>
      </c>
      <c r="G492" t="s">
        <v>82</v>
      </c>
      <c r="H492" t="s">
        <v>82</v>
      </c>
      <c r="I492" s="2">
        <v>0.5</v>
      </c>
      <c r="J492" t="s">
        <v>82</v>
      </c>
      <c r="K492" t="s">
        <v>81</v>
      </c>
      <c r="L492" t="s">
        <v>15</v>
      </c>
      <c r="M492">
        <v>0</v>
      </c>
      <c r="N492">
        <v>5</v>
      </c>
      <c r="O492" t="s">
        <v>138</v>
      </c>
      <c r="P492" t="s">
        <v>15</v>
      </c>
      <c r="Q492" s="1" t="s">
        <v>68</v>
      </c>
      <c r="R492" t="s">
        <v>68</v>
      </c>
      <c r="S492" t="e">
        <f>IF(T492="","",INDEX('Backing 4'!U:U,MATCH(T492,'Backing 4'!T:T,0)))</f>
        <v>#N/A</v>
      </c>
      <c r="T492" t="str">
        <f t="shared" si="21"/>
        <v xml:space="preserve"> Senior Officer &amp; Internal Services</v>
      </c>
      <c r="U492" t="e">
        <f>IF(V492="","",INDEX('Backing 4'!Z:Z,MATCH(V492,'Backing 4'!Y:Y,0)))</f>
        <v>#N/A</v>
      </c>
      <c r="V492" t="str">
        <f t="shared" si="22"/>
        <v xml:space="preserve"> Senior Officer</v>
      </c>
      <c r="W492">
        <v>0</v>
      </c>
      <c r="X492" t="str">
        <f>IF(E492="Y","",IF(Y492="Y",INDEX('Backing 2'!B:B,MATCH(D492,'Backing 2'!C:C,0)),D492))</f>
        <v/>
      </c>
      <c r="Y492" t="s">
        <v>81</v>
      </c>
      <c r="Z492">
        <v>0</v>
      </c>
      <c r="AA492" t="s">
        <v>70</v>
      </c>
      <c r="AB492">
        <v>33</v>
      </c>
      <c r="AC492" t="s">
        <v>36</v>
      </c>
      <c r="AD492" t="s">
        <v>74</v>
      </c>
      <c r="AE492" t="s">
        <v>74</v>
      </c>
      <c r="AF492" s="3">
        <v>43922</v>
      </c>
      <c r="AG492">
        <v>0</v>
      </c>
      <c r="AH492">
        <f t="shared" ca="1" si="23"/>
        <v>0.62775768300949897</v>
      </c>
    </row>
    <row r="493" spans="1:34">
      <c r="A493">
        <v>492</v>
      </c>
      <c r="B493" t="s">
        <v>8</v>
      </c>
      <c r="C493">
        <v>2</v>
      </c>
      <c r="D493" t="s">
        <v>136</v>
      </c>
      <c r="E493" t="s">
        <v>81</v>
      </c>
      <c r="F493">
        <v>1</v>
      </c>
      <c r="G493" t="s">
        <v>82</v>
      </c>
      <c r="H493" t="s">
        <v>80</v>
      </c>
      <c r="I493" s="2">
        <v>0.5</v>
      </c>
      <c r="J493" t="s">
        <v>82</v>
      </c>
      <c r="K493" t="s">
        <v>79</v>
      </c>
      <c r="L493" t="s">
        <v>16</v>
      </c>
      <c r="M493">
        <v>0</v>
      </c>
      <c r="N493">
        <v>2</v>
      </c>
      <c r="O493" t="s">
        <v>136</v>
      </c>
      <c r="P493" t="s">
        <v>16</v>
      </c>
      <c r="Q493" s="1" t="s">
        <v>68</v>
      </c>
      <c r="R493" t="s">
        <v>68</v>
      </c>
      <c r="S493" t="e">
        <f>IF(T493="","",INDEX('Backing 4'!U:U,MATCH(T493,'Backing 4'!T:T,0)))</f>
        <v>#N/A</v>
      </c>
      <c r="T493" t="str">
        <f t="shared" si="21"/>
        <v xml:space="preserve"> Director &amp; Sales &amp; Marketing</v>
      </c>
      <c r="U493" t="s">
        <v>120</v>
      </c>
      <c r="V493" t="str">
        <f t="shared" si="22"/>
        <v xml:space="preserve"> Director</v>
      </c>
      <c r="W493">
        <v>3</v>
      </c>
      <c r="X493" t="str">
        <f>IF(E493="Y","",IF(Y493="Y",INDEX('Backing 2'!B:B,MATCH(D493,'Backing 2'!C:C,0)),D493))</f>
        <v xml:space="preserve"> Director</v>
      </c>
      <c r="Y493" t="s">
        <v>81</v>
      </c>
      <c r="Z493">
        <v>2</v>
      </c>
      <c r="AA493" t="s">
        <v>71</v>
      </c>
      <c r="AB493">
        <v>42</v>
      </c>
      <c r="AC493" t="s">
        <v>19</v>
      </c>
      <c r="AD493" t="s">
        <v>19</v>
      </c>
      <c r="AE493" t="s">
        <v>19</v>
      </c>
      <c r="AF493" s="3">
        <v>41000</v>
      </c>
      <c r="AG493">
        <v>8</v>
      </c>
      <c r="AH493">
        <f t="shared" ca="1" si="23"/>
        <v>0.8801963743123834</v>
      </c>
    </row>
    <row r="494" spans="1:34">
      <c r="A494">
        <v>493</v>
      </c>
      <c r="B494" t="s">
        <v>8</v>
      </c>
      <c r="C494">
        <v>4</v>
      </c>
      <c r="D494" t="s">
        <v>135</v>
      </c>
      <c r="E494" t="s">
        <v>81</v>
      </c>
      <c r="F494">
        <v>1</v>
      </c>
      <c r="G494" t="s">
        <v>80</v>
      </c>
      <c r="H494" t="s">
        <v>80</v>
      </c>
      <c r="I494" s="2">
        <v>0.5</v>
      </c>
      <c r="J494" t="s">
        <v>82</v>
      </c>
      <c r="K494" t="s">
        <v>79</v>
      </c>
      <c r="L494" t="s">
        <v>16</v>
      </c>
      <c r="M494">
        <v>0</v>
      </c>
      <c r="N494">
        <v>3</v>
      </c>
      <c r="O494" t="s">
        <v>137</v>
      </c>
      <c r="P494" t="s">
        <v>16</v>
      </c>
      <c r="Q494" s="1" t="s">
        <v>68</v>
      </c>
      <c r="R494" t="s">
        <v>68</v>
      </c>
      <c r="S494" t="e">
        <f>IF(T494="","",INDEX('Backing 4'!U:U,MATCH(T494,'Backing 4'!T:T,0)))</f>
        <v>#N/A</v>
      </c>
      <c r="T494" t="str">
        <f t="shared" si="21"/>
        <v xml:space="preserve"> Manager &amp; Sales &amp; Marketing</v>
      </c>
      <c r="U494" t="e">
        <f>IF(V494="","",INDEX('Backing 4'!Z:Z,MATCH(V494,'Backing 4'!Y:Y,0)))</f>
        <v>#N/A</v>
      </c>
      <c r="V494" t="str">
        <f t="shared" si="22"/>
        <v xml:space="preserve"> Manager</v>
      </c>
      <c r="W494">
        <v>2</v>
      </c>
      <c r="X494" t="str">
        <f>IF(E494="Y","",IF(Y494="Y",INDEX('Backing 2'!B:B,MATCH(D494,'Backing 2'!C:C,0)),D494))</f>
        <v xml:space="preserve"> Manager</v>
      </c>
      <c r="Y494" t="s">
        <v>81</v>
      </c>
      <c r="Z494">
        <v>2</v>
      </c>
      <c r="AA494" t="s">
        <v>70</v>
      </c>
      <c r="AB494">
        <v>33</v>
      </c>
      <c r="AC494" t="s">
        <v>31</v>
      </c>
      <c r="AD494" t="s">
        <v>74</v>
      </c>
      <c r="AE494" t="s">
        <v>74</v>
      </c>
      <c r="AF494" s="3">
        <v>42461</v>
      </c>
      <c r="AG494">
        <v>4</v>
      </c>
      <c r="AH494">
        <f t="shared" ca="1" si="23"/>
        <v>0.49396612886304481</v>
      </c>
    </row>
    <row r="495" spans="1:34">
      <c r="A495">
        <v>494</v>
      </c>
      <c r="B495" t="s">
        <v>7</v>
      </c>
      <c r="C495">
        <v>6</v>
      </c>
      <c r="D495" t="s">
        <v>134</v>
      </c>
      <c r="E495" t="s">
        <v>81</v>
      </c>
      <c r="F495">
        <v>4</v>
      </c>
      <c r="G495" t="s">
        <v>82</v>
      </c>
      <c r="H495" t="s">
        <v>80</v>
      </c>
      <c r="I495" s="2">
        <v>0.5</v>
      </c>
      <c r="J495" t="s">
        <v>82</v>
      </c>
      <c r="K495" t="s">
        <v>79</v>
      </c>
      <c r="L495" t="s">
        <v>16</v>
      </c>
      <c r="M495">
        <v>0</v>
      </c>
      <c r="N495">
        <v>6</v>
      </c>
      <c r="O495" t="s">
        <v>134</v>
      </c>
      <c r="P495" t="s">
        <v>16</v>
      </c>
      <c r="Q495" s="1" t="s">
        <v>68</v>
      </c>
      <c r="R495" t="s">
        <v>68</v>
      </c>
      <c r="S495" t="e">
        <f>IF(T495="","",INDEX('Backing 4'!U:U,MATCH(T495,'Backing 4'!T:T,0)))</f>
        <v>#N/A</v>
      </c>
      <c r="T495" t="str">
        <f t="shared" si="21"/>
        <v xml:space="preserve"> Junior Officer &amp; Sales &amp; Marketing</v>
      </c>
      <c r="U495" t="e">
        <f>IF(V495="","",INDEX('Backing 4'!Z:Z,MATCH(V495,'Backing 4'!Y:Y,0)))</f>
        <v>#N/A</v>
      </c>
      <c r="V495" t="str">
        <f t="shared" si="22"/>
        <v xml:space="preserve"> Junior Officer</v>
      </c>
      <c r="W495">
        <v>3</v>
      </c>
      <c r="X495" t="str">
        <f>IF(E495="Y","",IF(Y495="Y",INDEX('Backing 2'!B:B,MATCH(D495,'Backing 2'!C:C,0)),D495))</f>
        <v xml:space="preserve"> Junior Officer</v>
      </c>
      <c r="Y495" t="s">
        <v>81</v>
      </c>
      <c r="Z495">
        <v>3</v>
      </c>
      <c r="AA495" t="s">
        <v>69</v>
      </c>
      <c r="AB495">
        <v>27</v>
      </c>
      <c r="AC495" t="s">
        <v>20</v>
      </c>
      <c r="AD495" t="s">
        <v>74</v>
      </c>
      <c r="AE495" t="s">
        <v>74</v>
      </c>
      <c r="AF495" s="3">
        <v>42826</v>
      </c>
      <c r="AG495">
        <v>3</v>
      </c>
      <c r="AH495">
        <f t="shared" ca="1" si="23"/>
        <v>6.8099484780988373E-2</v>
      </c>
    </row>
    <row r="496" spans="1:34">
      <c r="A496">
        <v>495</v>
      </c>
      <c r="B496" t="s">
        <v>7</v>
      </c>
      <c r="C496">
        <v>6</v>
      </c>
      <c r="D496" t="s">
        <v>134</v>
      </c>
      <c r="E496" t="s">
        <v>81</v>
      </c>
      <c r="F496">
        <v>2</v>
      </c>
      <c r="G496" t="s">
        <v>82</v>
      </c>
      <c r="H496" t="s">
        <v>80</v>
      </c>
      <c r="I496" s="2">
        <v>0.5</v>
      </c>
      <c r="J496" t="s">
        <v>82</v>
      </c>
      <c r="K496" t="s">
        <v>79</v>
      </c>
      <c r="L496" t="s">
        <v>14</v>
      </c>
      <c r="M496">
        <v>0</v>
      </c>
      <c r="N496">
        <v>6</v>
      </c>
      <c r="O496" t="s">
        <v>134</v>
      </c>
      <c r="P496" t="s">
        <v>14</v>
      </c>
      <c r="Q496" s="1" t="s">
        <v>68</v>
      </c>
      <c r="R496" t="s">
        <v>68</v>
      </c>
      <c r="S496" t="e">
        <f>IF(T496="","",INDEX('Backing 4'!U:U,MATCH(T496,'Backing 4'!T:T,0)))</f>
        <v>#N/A</v>
      </c>
      <c r="T496" t="str">
        <f t="shared" si="21"/>
        <v xml:space="preserve"> Junior Officer &amp; Operations</v>
      </c>
      <c r="U496" t="e">
        <f>IF(V496="","",INDEX('Backing 4'!Z:Z,MATCH(V496,'Backing 4'!Y:Y,0)))</f>
        <v>#N/A</v>
      </c>
      <c r="V496" t="str">
        <f t="shared" si="22"/>
        <v xml:space="preserve"> Junior Officer</v>
      </c>
      <c r="W496">
        <v>3</v>
      </c>
      <c r="X496" t="str">
        <f>IF(E496="Y","",IF(Y496="Y",INDEX('Backing 2'!B:B,MATCH(D496,'Backing 2'!C:C,0)),D496))</f>
        <v xml:space="preserve"> Junior Officer</v>
      </c>
      <c r="Y496" t="s">
        <v>81</v>
      </c>
      <c r="Z496">
        <v>3</v>
      </c>
      <c r="AA496" t="s">
        <v>69</v>
      </c>
      <c r="AB496">
        <v>22</v>
      </c>
      <c r="AC496" t="s">
        <v>19</v>
      </c>
      <c r="AD496" t="s">
        <v>19</v>
      </c>
      <c r="AE496" t="s">
        <v>19</v>
      </c>
      <c r="AF496" s="3">
        <v>42826</v>
      </c>
      <c r="AG496">
        <v>3</v>
      </c>
      <c r="AH496">
        <f t="shared" ca="1" si="23"/>
        <v>0.62844629312507172</v>
      </c>
    </row>
    <row r="497" spans="1:34">
      <c r="A497">
        <v>496</v>
      </c>
      <c r="B497" t="s">
        <v>8</v>
      </c>
      <c r="C497">
        <v>6</v>
      </c>
      <c r="D497" t="s">
        <v>134</v>
      </c>
      <c r="E497" t="s">
        <v>81</v>
      </c>
      <c r="F497">
        <v>4</v>
      </c>
      <c r="G497" t="s">
        <v>82</v>
      </c>
      <c r="H497" t="s">
        <v>80</v>
      </c>
      <c r="I497" s="2">
        <v>0.5</v>
      </c>
      <c r="J497" t="s">
        <v>82</v>
      </c>
      <c r="K497" t="s">
        <v>79</v>
      </c>
      <c r="L497" t="s">
        <v>16</v>
      </c>
      <c r="M497">
        <v>0</v>
      </c>
      <c r="N497">
        <v>6</v>
      </c>
      <c r="O497" t="s">
        <v>134</v>
      </c>
      <c r="P497" t="s">
        <v>16</v>
      </c>
      <c r="Q497" s="1" t="s">
        <v>68</v>
      </c>
      <c r="R497" t="s">
        <v>68</v>
      </c>
      <c r="S497" t="e">
        <f>IF(T497="","",INDEX('Backing 4'!U:U,MATCH(T497,'Backing 4'!T:T,0)))</f>
        <v>#N/A</v>
      </c>
      <c r="T497" t="str">
        <f t="shared" si="21"/>
        <v xml:space="preserve"> Junior Officer &amp; Sales &amp; Marketing</v>
      </c>
      <c r="U497" t="e">
        <f>IF(V497="","",INDEX('Backing 4'!Z:Z,MATCH(V497,'Backing 4'!Y:Y,0)))</f>
        <v>#N/A</v>
      </c>
      <c r="V497" t="str">
        <f t="shared" si="22"/>
        <v xml:space="preserve"> Junior Officer</v>
      </c>
      <c r="W497">
        <v>3</v>
      </c>
      <c r="X497" t="str">
        <f>IF(E497="Y","",IF(Y497="Y",INDEX('Backing 2'!B:B,MATCH(D497,'Backing 2'!C:C,0)),D497))</f>
        <v xml:space="preserve"> Junior Officer</v>
      </c>
      <c r="Y497" t="s">
        <v>81</v>
      </c>
      <c r="Z497">
        <v>3</v>
      </c>
      <c r="AA497" t="s">
        <v>69</v>
      </c>
      <c r="AB497">
        <v>25</v>
      </c>
      <c r="AC497" t="s">
        <v>30</v>
      </c>
      <c r="AD497" t="s">
        <v>74</v>
      </c>
      <c r="AE497" t="s">
        <v>74</v>
      </c>
      <c r="AF497" s="3">
        <v>42826</v>
      </c>
      <c r="AG497">
        <v>3</v>
      </c>
      <c r="AH497">
        <f t="shared" ca="1" si="23"/>
        <v>0.14156149915050642</v>
      </c>
    </row>
    <row r="498" spans="1:34">
      <c r="A498">
        <v>497</v>
      </c>
      <c r="B498" t="s">
        <v>7</v>
      </c>
      <c r="C498">
        <v>5</v>
      </c>
      <c r="D498" t="s">
        <v>138</v>
      </c>
      <c r="E498" t="s">
        <v>81</v>
      </c>
      <c r="F498">
        <v>2</v>
      </c>
      <c r="G498" t="s">
        <v>82</v>
      </c>
      <c r="H498" t="s">
        <v>80</v>
      </c>
      <c r="I498" s="2">
        <v>0.5</v>
      </c>
      <c r="J498" t="s">
        <v>82</v>
      </c>
      <c r="K498" t="s">
        <v>79</v>
      </c>
      <c r="L498" t="s">
        <v>14</v>
      </c>
      <c r="M498">
        <v>0</v>
      </c>
      <c r="N498">
        <v>5</v>
      </c>
      <c r="O498" t="s">
        <v>138</v>
      </c>
      <c r="P498" t="s">
        <v>14</v>
      </c>
      <c r="Q498" s="1">
        <v>0.9</v>
      </c>
      <c r="R498" t="s">
        <v>67</v>
      </c>
      <c r="S498" t="e">
        <f>IF(T498="","",INDEX('Backing 4'!U:U,MATCH(T498,'Backing 4'!T:T,0)))</f>
        <v>#N/A</v>
      </c>
      <c r="T498" t="str">
        <f t="shared" si="21"/>
        <v xml:space="preserve"> Senior Officer &amp; Operations</v>
      </c>
      <c r="U498" t="e">
        <f>IF(V498="","",INDEX('Backing 4'!Z:Z,MATCH(V498,'Backing 4'!Y:Y,0)))</f>
        <v>#N/A</v>
      </c>
      <c r="V498" t="str">
        <f t="shared" si="22"/>
        <v xml:space="preserve"> Senior Officer</v>
      </c>
      <c r="W498">
        <v>2</v>
      </c>
      <c r="X498" t="str">
        <f>IF(E498="Y","",IF(Y498="Y",INDEX('Backing 2'!B:B,MATCH(D498,'Backing 2'!C:C,0)),D498))</f>
        <v xml:space="preserve"> Senior Officer</v>
      </c>
      <c r="Y498" t="s">
        <v>81</v>
      </c>
      <c r="Z498">
        <v>3</v>
      </c>
      <c r="AA498" t="s">
        <v>70</v>
      </c>
      <c r="AB498">
        <v>32</v>
      </c>
      <c r="AC498" t="s">
        <v>39</v>
      </c>
      <c r="AD498" t="s">
        <v>74</v>
      </c>
      <c r="AE498" t="s">
        <v>74</v>
      </c>
      <c r="AF498" s="3">
        <v>40634</v>
      </c>
      <c r="AG498">
        <v>9</v>
      </c>
      <c r="AH498">
        <f t="shared" ca="1" si="23"/>
        <v>0.64954512413092025</v>
      </c>
    </row>
    <row r="499" spans="1:34">
      <c r="A499">
        <v>498</v>
      </c>
      <c r="B499" t="s">
        <v>8</v>
      </c>
      <c r="C499">
        <v>6</v>
      </c>
      <c r="D499" t="s">
        <v>134</v>
      </c>
      <c r="E499" t="s">
        <v>81</v>
      </c>
      <c r="F499">
        <v>2</v>
      </c>
      <c r="G499" t="s">
        <v>82</v>
      </c>
      <c r="H499" t="s">
        <v>80</v>
      </c>
      <c r="I499" s="2">
        <v>0.5</v>
      </c>
      <c r="J499" t="s">
        <v>82</v>
      </c>
      <c r="K499" t="s">
        <v>79</v>
      </c>
      <c r="L499" t="s">
        <v>16</v>
      </c>
      <c r="M499">
        <v>0</v>
      </c>
      <c r="N499">
        <v>6</v>
      </c>
      <c r="O499" t="s">
        <v>134</v>
      </c>
      <c r="P499" t="s">
        <v>16</v>
      </c>
      <c r="Q499" s="1" t="s">
        <v>68</v>
      </c>
      <c r="R499" t="s">
        <v>68</v>
      </c>
      <c r="S499" t="e">
        <f>IF(T499="","",INDEX('Backing 4'!U:U,MATCH(T499,'Backing 4'!T:T,0)))</f>
        <v>#N/A</v>
      </c>
      <c r="T499" t="str">
        <f t="shared" si="21"/>
        <v xml:space="preserve"> Junior Officer &amp; Sales &amp; Marketing</v>
      </c>
      <c r="U499" t="e">
        <f>IF(V499="","",INDEX('Backing 4'!Z:Z,MATCH(V499,'Backing 4'!Y:Y,0)))</f>
        <v>#N/A</v>
      </c>
      <c r="V499" t="str">
        <f t="shared" si="22"/>
        <v xml:space="preserve"> Junior Officer</v>
      </c>
      <c r="W499">
        <v>2</v>
      </c>
      <c r="X499" t="str">
        <f>IF(E499="Y","",IF(Y499="Y",INDEX('Backing 2'!B:B,MATCH(D499,'Backing 2'!C:C,0)),D499))</f>
        <v xml:space="preserve"> Junior Officer</v>
      </c>
      <c r="Y499" t="s">
        <v>81</v>
      </c>
      <c r="Z499">
        <v>3</v>
      </c>
      <c r="AA499" t="s">
        <v>69</v>
      </c>
      <c r="AB499">
        <v>21</v>
      </c>
      <c r="AC499" t="s">
        <v>35</v>
      </c>
      <c r="AD499" t="s">
        <v>75</v>
      </c>
      <c r="AE499" t="s">
        <v>78</v>
      </c>
      <c r="AF499" s="3">
        <v>43191</v>
      </c>
      <c r="AG499">
        <v>2</v>
      </c>
      <c r="AH499">
        <f t="shared" ca="1" si="23"/>
        <v>0.57595845732907014</v>
      </c>
    </row>
    <row r="500" spans="1:34">
      <c r="A500">
        <v>499</v>
      </c>
      <c r="B500" t="s">
        <v>8</v>
      </c>
      <c r="C500">
        <v>3</v>
      </c>
      <c r="D500" t="s">
        <v>137</v>
      </c>
      <c r="E500" t="s">
        <v>81</v>
      </c>
      <c r="F500">
        <v>2</v>
      </c>
      <c r="G500" t="s">
        <v>82</v>
      </c>
      <c r="H500" t="s">
        <v>80</v>
      </c>
      <c r="I500" s="2">
        <v>0.5</v>
      </c>
      <c r="J500" t="s">
        <v>82</v>
      </c>
      <c r="K500" t="s">
        <v>79</v>
      </c>
      <c r="L500" t="s">
        <v>12</v>
      </c>
      <c r="M500">
        <v>0</v>
      </c>
      <c r="N500">
        <v>3</v>
      </c>
      <c r="O500" t="s">
        <v>137</v>
      </c>
      <c r="P500" t="s">
        <v>12</v>
      </c>
      <c r="Q500" s="1" t="s">
        <v>68</v>
      </c>
      <c r="R500" t="s">
        <v>68</v>
      </c>
      <c r="S500" t="e">
        <f>IF(T500="","",INDEX('Backing 4'!U:U,MATCH(T500,'Backing 4'!T:T,0)))</f>
        <v>#N/A</v>
      </c>
      <c r="T500" t="str">
        <f t="shared" si="21"/>
        <v xml:space="preserve"> Senior Manager &amp; Finance</v>
      </c>
      <c r="U500" t="e">
        <f>IF(V500="","",INDEX('Backing 4'!Z:Z,MATCH(V500,'Backing 4'!Y:Y,0)))</f>
        <v>#N/A</v>
      </c>
      <c r="V500" t="str">
        <f t="shared" si="22"/>
        <v xml:space="preserve"> Senior Manager</v>
      </c>
      <c r="W500">
        <v>1</v>
      </c>
      <c r="X500" t="e">
        <f>IF(E500="Y","",IF(Y500="Y",INDEX('Backing 2'!B:B,MATCH(D500,'Backing 2'!C:C,0)),D500))</f>
        <v>#N/A</v>
      </c>
      <c r="Y500" t="s">
        <v>79</v>
      </c>
      <c r="Z500">
        <v>1</v>
      </c>
      <c r="AA500" t="s">
        <v>71</v>
      </c>
      <c r="AB500">
        <v>42</v>
      </c>
      <c r="AC500" t="s">
        <v>21</v>
      </c>
      <c r="AD500" t="s">
        <v>74</v>
      </c>
      <c r="AE500" t="s">
        <v>74</v>
      </c>
      <c r="AF500" s="3">
        <v>42461</v>
      </c>
      <c r="AG500">
        <v>4</v>
      </c>
      <c r="AH500">
        <f t="shared" ca="1" si="23"/>
        <v>0.173637337499008</v>
      </c>
    </row>
    <row r="501" spans="1:34">
      <c r="A501">
        <v>500</v>
      </c>
      <c r="B501" t="s">
        <v>8</v>
      </c>
      <c r="C501">
        <v>4</v>
      </c>
      <c r="D501" t="s">
        <v>135</v>
      </c>
      <c r="E501" t="s">
        <v>81</v>
      </c>
      <c r="F501">
        <v>2</v>
      </c>
      <c r="G501" t="s">
        <v>80</v>
      </c>
      <c r="H501" t="s">
        <v>80</v>
      </c>
      <c r="I501" s="2">
        <v>0.5</v>
      </c>
      <c r="J501" t="s">
        <v>82</v>
      </c>
      <c r="K501" t="s">
        <v>79</v>
      </c>
      <c r="L501" t="s">
        <v>16</v>
      </c>
      <c r="M501">
        <v>0</v>
      </c>
      <c r="N501">
        <v>3</v>
      </c>
      <c r="O501" t="s">
        <v>137</v>
      </c>
      <c r="P501" t="s">
        <v>16</v>
      </c>
      <c r="Q501" s="1" t="s">
        <v>68</v>
      </c>
      <c r="R501" t="s">
        <v>68</v>
      </c>
      <c r="S501" t="e">
        <f>IF(T501="","",INDEX('Backing 4'!U:U,MATCH(T501,'Backing 4'!T:T,0)))</f>
        <v>#N/A</v>
      </c>
      <c r="T501" t="str">
        <f t="shared" si="21"/>
        <v xml:space="preserve"> Manager &amp; Sales &amp; Marketing</v>
      </c>
      <c r="U501" t="e">
        <f>IF(V501="","",INDEX('Backing 4'!Z:Z,MATCH(V501,'Backing 4'!Y:Y,0)))</f>
        <v>#N/A</v>
      </c>
      <c r="V501" t="str">
        <f t="shared" si="22"/>
        <v xml:space="preserve"> Manager</v>
      </c>
      <c r="W501">
        <v>9</v>
      </c>
      <c r="X501" t="str">
        <f>IF(E501="Y","",IF(Y501="Y",INDEX('Backing 2'!B:B,MATCH(D501,'Backing 2'!C:C,0)),D501))</f>
        <v xml:space="preserve"> Manager</v>
      </c>
      <c r="Y501" t="s">
        <v>81</v>
      </c>
      <c r="Z501">
        <v>3</v>
      </c>
      <c r="AA501" t="s">
        <v>70</v>
      </c>
      <c r="AB501">
        <v>39</v>
      </c>
      <c r="AC501" t="s">
        <v>19</v>
      </c>
      <c r="AD501" t="s">
        <v>19</v>
      </c>
      <c r="AE501" t="s">
        <v>19</v>
      </c>
      <c r="AF501" s="3">
        <v>40634</v>
      </c>
      <c r="AG501">
        <v>9</v>
      </c>
      <c r="AH501">
        <f t="shared" ca="1" si="23"/>
        <v>0.961274999284217</v>
      </c>
    </row>
  </sheetData>
  <autoFilter ref="A1:AH1" xr:uid="{00000000-0009-0000-0000-000000000000}">
    <sortState xmlns:xlrd2="http://schemas.microsoft.com/office/spreadsheetml/2017/richdata2" ref="A2:AH501">
      <sortCondition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EBE1-ADFA-4A08-8B66-AED6B4C834E0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topLeftCell="A472" workbookViewId="0">
      <selection activeCell="F16" sqref="F16"/>
    </sheetView>
  </sheetViews>
  <sheetFormatPr defaultRowHeight="13.2"/>
  <cols>
    <col min="2" max="2" width="11.44140625" bestFit="1" customWidth="1"/>
    <col min="5" max="5" width="16.88671875" bestFit="1" customWidth="1"/>
    <col min="6" max="6" width="13.33203125" customWidth="1"/>
    <col min="8" max="8" width="19.109375" customWidth="1"/>
    <col min="9" max="9" width="12.44140625" customWidth="1"/>
    <col min="12" max="12" width="17.6640625" customWidth="1"/>
  </cols>
  <sheetData>
    <row r="1" spans="1:13">
      <c r="A1" t="s">
        <v>10</v>
      </c>
      <c r="B1" t="s">
        <v>9</v>
      </c>
      <c r="C1" t="s">
        <v>0</v>
      </c>
      <c r="D1" t="s">
        <v>1</v>
      </c>
      <c r="E1" t="s">
        <v>141</v>
      </c>
      <c r="F1" t="s">
        <v>11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40</v>
      </c>
      <c r="M1" t="s">
        <v>18</v>
      </c>
    </row>
    <row r="2" spans="1:13">
      <c r="A2">
        <f t="shared" ref="A2:A65" ca="1" si="0">RAND()</f>
        <v>0.61797765396581061</v>
      </c>
      <c r="B2">
        <v>1</v>
      </c>
      <c r="C2" t="s">
        <v>8</v>
      </c>
      <c r="D2">
        <v>1</v>
      </c>
      <c r="E2" t="s">
        <v>134</v>
      </c>
      <c r="F2" t="s">
        <v>14</v>
      </c>
      <c r="G2">
        <v>1</v>
      </c>
      <c r="H2">
        <v>2</v>
      </c>
      <c r="I2">
        <v>1</v>
      </c>
      <c r="J2">
        <v>48</v>
      </c>
      <c r="K2">
        <v>6</v>
      </c>
      <c r="L2" t="s">
        <v>21</v>
      </c>
      <c r="M2">
        <v>74</v>
      </c>
    </row>
    <row r="3" spans="1:13">
      <c r="A3">
        <f t="shared" ca="1" si="0"/>
        <v>0.56541998348636746</v>
      </c>
      <c r="B3">
        <v>2</v>
      </c>
      <c r="C3" t="s">
        <v>7</v>
      </c>
      <c r="D3">
        <v>3</v>
      </c>
      <c r="E3" t="s">
        <v>135</v>
      </c>
      <c r="F3" t="s">
        <v>16</v>
      </c>
      <c r="G3">
        <v>1</v>
      </c>
      <c r="H3">
        <v>2</v>
      </c>
      <c r="I3">
        <v>3</v>
      </c>
      <c r="J3">
        <v>29</v>
      </c>
      <c r="K3">
        <v>1</v>
      </c>
      <c r="L3" t="s">
        <v>30</v>
      </c>
      <c r="M3">
        <v>320</v>
      </c>
    </row>
    <row r="4" spans="1:13">
      <c r="A4">
        <f t="shared" ca="1" si="0"/>
        <v>0.44003834951353082</v>
      </c>
      <c r="B4">
        <v>3</v>
      </c>
      <c r="C4" t="s">
        <v>8</v>
      </c>
      <c r="D4">
        <v>5</v>
      </c>
      <c r="E4" t="s">
        <v>136</v>
      </c>
      <c r="F4" t="s">
        <v>17</v>
      </c>
      <c r="G4">
        <v>1</v>
      </c>
      <c r="H4">
        <v>3</v>
      </c>
      <c r="I4">
        <v>1</v>
      </c>
      <c r="J4">
        <v>31</v>
      </c>
      <c r="K4">
        <v>5</v>
      </c>
      <c r="L4" t="s">
        <v>19</v>
      </c>
      <c r="M4">
        <v>66</v>
      </c>
    </row>
    <row r="5" spans="1:13">
      <c r="A5">
        <f t="shared" ca="1" si="0"/>
        <v>0.43699271064518797</v>
      </c>
      <c r="B5">
        <v>4</v>
      </c>
      <c r="C5" t="s">
        <v>8</v>
      </c>
      <c r="D5">
        <v>3</v>
      </c>
      <c r="E5" t="s">
        <v>135</v>
      </c>
      <c r="F5" t="s">
        <v>13</v>
      </c>
      <c r="G5">
        <v>1</v>
      </c>
      <c r="H5">
        <v>3</v>
      </c>
      <c r="I5">
        <v>1</v>
      </c>
      <c r="J5">
        <v>27</v>
      </c>
      <c r="K5">
        <v>1</v>
      </c>
      <c r="L5" t="s">
        <v>30</v>
      </c>
      <c r="M5">
        <v>153</v>
      </c>
    </row>
    <row r="6" spans="1:13">
      <c r="A6">
        <f t="shared" ca="1" si="0"/>
        <v>0.93100647449818263</v>
      </c>
      <c r="B6">
        <v>5</v>
      </c>
      <c r="C6" t="s">
        <v>7</v>
      </c>
      <c r="D6">
        <v>1</v>
      </c>
      <c r="E6" t="s">
        <v>134</v>
      </c>
      <c r="F6" t="s">
        <v>16</v>
      </c>
      <c r="G6">
        <v>1</v>
      </c>
      <c r="H6">
        <v>3</v>
      </c>
      <c r="I6">
        <v>4</v>
      </c>
      <c r="J6">
        <v>36</v>
      </c>
      <c r="K6">
        <v>1</v>
      </c>
      <c r="L6" t="s">
        <v>19</v>
      </c>
      <c r="M6">
        <v>460</v>
      </c>
    </row>
    <row r="7" spans="1:13">
      <c r="A7">
        <f t="shared" ca="1" si="0"/>
        <v>0.60237099178253339</v>
      </c>
      <c r="B7">
        <v>6</v>
      </c>
      <c r="C7" t="s">
        <v>8</v>
      </c>
      <c r="D7">
        <v>3</v>
      </c>
      <c r="E7" t="s">
        <v>135</v>
      </c>
      <c r="F7" t="s">
        <v>15</v>
      </c>
      <c r="G7">
        <v>1</v>
      </c>
      <c r="H7">
        <v>2</v>
      </c>
      <c r="I7">
        <v>3</v>
      </c>
      <c r="J7">
        <v>49</v>
      </c>
      <c r="K7">
        <v>0</v>
      </c>
      <c r="L7" t="s">
        <v>19</v>
      </c>
      <c r="M7">
        <v>339</v>
      </c>
    </row>
    <row r="8" spans="1:13">
      <c r="A8">
        <f t="shared" ca="1" si="0"/>
        <v>0.44386798378032521</v>
      </c>
      <c r="B8">
        <v>7</v>
      </c>
      <c r="C8" t="s">
        <v>8</v>
      </c>
      <c r="D8">
        <v>4</v>
      </c>
      <c r="E8" t="s">
        <v>137</v>
      </c>
      <c r="F8" t="s">
        <v>14</v>
      </c>
      <c r="G8">
        <v>1</v>
      </c>
      <c r="H8">
        <v>2</v>
      </c>
      <c r="I8">
        <v>3</v>
      </c>
      <c r="J8">
        <v>47</v>
      </c>
      <c r="K8">
        <v>0</v>
      </c>
      <c r="L8" t="s">
        <v>26</v>
      </c>
      <c r="M8">
        <v>335</v>
      </c>
    </row>
    <row r="9" spans="1:13">
      <c r="A9">
        <f t="shared" ca="1" si="0"/>
        <v>0.73601846923080749</v>
      </c>
      <c r="B9">
        <v>8</v>
      </c>
      <c r="C9" t="s">
        <v>7</v>
      </c>
      <c r="D9">
        <v>2</v>
      </c>
      <c r="E9" t="s">
        <v>140</v>
      </c>
      <c r="F9" t="s">
        <v>13</v>
      </c>
      <c r="G9">
        <v>1</v>
      </c>
      <c r="H9">
        <v>2</v>
      </c>
      <c r="I9">
        <v>2</v>
      </c>
      <c r="J9">
        <v>44</v>
      </c>
      <c r="K9">
        <v>7</v>
      </c>
      <c r="L9" t="s">
        <v>19</v>
      </c>
      <c r="M9">
        <v>197</v>
      </c>
    </row>
    <row r="10" spans="1:13">
      <c r="A10">
        <f t="shared" ca="1" si="0"/>
        <v>0.21415198946999314</v>
      </c>
      <c r="B10">
        <v>9</v>
      </c>
      <c r="C10" t="s">
        <v>8</v>
      </c>
      <c r="D10">
        <v>1</v>
      </c>
      <c r="E10" t="s">
        <v>134</v>
      </c>
      <c r="F10" t="s">
        <v>16</v>
      </c>
      <c r="G10">
        <v>1</v>
      </c>
      <c r="H10">
        <v>2</v>
      </c>
      <c r="I10">
        <v>3</v>
      </c>
      <c r="J10">
        <v>43</v>
      </c>
      <c r="K10">
        <v>4</v>
      </c>
      <c r="L10" t="s">
        <v>38</v>
      </c>
      <c r="M10">
        <v>356</v>
      </c>
    </row>
    <row r="11" spans="1:13">
      <c r="A11">
        <f t="shared" ca="1" si="0"/>
        <v>0.59458343766636768</v>
      </c>
      <c r="B11">
        <v>10</v>
      </c>
      <c r="C11" t="s">
        <v>8</v>
      </c>
      <c r="D11">
        <v>1</v>
      </c>
      <c r="E11" t="s">
        <v>134</v>
      </c>
      <c r="F11" t="s">
        <v>15</v>
      </c>
      <c r="G11">
        <v>1</v>
      </c>
      <c r="H11">
        <v>2</v>
      </c>
      <c r="I11">
        <v>1</v>
      </c>
      <c r="J11">
        <v>58</v>
      </c>
      <c r="K11">
        <v>3</v>
      </c>
      <c r="L11" t="s">
        <v>19</v>
      </c>
      <c r="M11">
        <v>100</v>
      </c>
    </row>
    <row r="12" spans="1:13">
      <c r="A12">
        <f t="shared" ca="1" si="0"/>
        <v>0.30467491995395846</v>
      </c>
      <c r="B12">
        <v>11</v>
      </c>
      <c r="C12" t="s">
        <v>8</v>
      </c>
      <c r="D12">
        <v>3</v>
      </c>
      <c r="E12" t="s">
        <v>135</v>
      </c>
      <c r="F12" t="s">
        <v>14</v>
      </c>
      <c r="G12">
        <v>1</v>
      </c>
      <c r="H12">
        <v>2</v>
      </c>
      <c r="I12">
        <v>5</v>
      </c>
      <c r="J12">
        <v>49</v>
      </c>
      <c r="K12">
        <v>9</v>
      </c>
      <c r="L12" t="s">
        <v>19</v>
      </c>
      <c r="M12">
        <v>463</v>
      </c>
    </row>
    <row r="13" spans="1:13">
      <c r="A13">
        <f t="shared" ca="1" si="0"/>
        <v>0.37000013523222564</v>
      </c>
      <c r="B13">
        <v>12</v>
      </c>
      <c r="C13" t="s">
        <v>8</v>
      </c>
      <c r="D13">
        <v>2</v>
      </c>
      <c r="E13" t="s">
        <v>140</v>
      </c>
      <c r="F13" t="s">
        <v>17</v>
      </c>
      <c r="G13">
        <v>1</v>
      </c>
      <c r="H13">
        <v>2</v>
      </c>
      <c r="I13">
        <v>3</v>
      </c>
      <c r="J13">
        <v>43</v>
      </c>
      <c r="K13">
        <v>7</v>
      </c>
      <c r="L13" t="s">
        <v>31</v>
      </c>
      <c r="M13">
        <v>341</v>
      </c>
    </row>
    <row r="14" spans="1:13">
      <c r="A14">
        <f t="shared" ca="1" si="0"/>
        <v>0.87804171504291495</v>
      </c>
      <c r="B14">
        <v>13</v>
      </c>
      <c r="C14" t="s">
        <v>8</v>
      </c>
      <c r="D14">
        <v>2</v>
      </c>
      <c r="E14" t="s">
        <v>140</v>
      </c>
      <c r="F14" t="s">
        <v>14</v>
      </c>
      <c r="G14">
        <v>1</v>
      </c>
      <c r="H14">
        <v>2</v>
      </c>
      <c r="I14">
        <v>3</v>
      </c>
      <c r="J14">
        <v>29</v>
      </c>
      <c r="K14">
        <v>5</v>
      </c>
      <c r="L14" t="s">
        <v>30</v>
      </c>
      <c r="M14">
        <v>397</v>
      </c>
    </row>
    <row r="15" spans="1:13">
      <c r="A15">
        <f t="shared" ca="1" si="0"/>
        <v>0.61194772376614559</v>
      </c>
      <c r="B15">
        <v>14</v>
      </c>
      <c r="C15" t="s">
        <v>8</v>
      </c>
      <c r="D15">
        <v>1</v>
      </c>
      <c r="E15" t="s">
        <v>134</v>
      </c>
      <c r="F15" t="s">
        <v>14</v>
      </c>
      <c r="G15">
        <v>1</v>
      </c>
      <c r="H15">
        <v>3</v>
      </c>
      <c r="I15">
        <v>4</v>
      </c>
      <c r="J15">
        <v>46</v>
      </c>
      <c r="K15">
        <v>1</v>
      </c>
      <c r="L15" t="s">
        <v>19</v>
      </c>
      <c r="M15">
        <v>448</v>
      </c>
    </row>
    <row r="16" spans="1:13">
      <c r="A16">
        <f t="shared" ca="1" si="0"/>
        <v>0.99066857432213529</v>
      </c>
      <c r="B16">
        <v>15</v>
      </c>
      <c r="C16" t="s">
        <v>8</v>
      </c>
      <c r="D16">
        <v>1</v>
      </c>
      <c r="E16" t="s">
        <v>134</v>
      </c>
      <c r="F16" t="s">
        <v>15</v>
      </c>
      <c r="G16">
        <v>1</v>
      </c>
      <c r="H16">
        <v>3</v>
      </c>
      <c r="I16">
        <v>2</v>
      </c>
      <c r="J16">
        <v>56</v>
      </c>
      <c r="K16">
        <v>3</v>
      </c>
      <c r="L16" t="s">
        <v>31</v>
      </c>
      <c r="M16">
        <v>220</v>
      </c>
    </row>
    <row r="17" spans="1:13">
      <c r="A17">
        <f t="shared" ca="1" si="0"/>
        <v>1.1842620383292757E-2</v>
      </c>
      <c r="B17">
        <v>16</v>
      </c>
      <c r="C17" t="s">
        <v>8</v>
      </c>
      <c r="D17">
        <v>3</v>
      </c>
      <c r="E17" t="s">
        <v>135</v>
      </c>
      <c r="F17" t="s">
        <v>17</v>
      </c>
      <c r="G17">
        <v>1</v>
      </c>
      <c r="H17">
        <v>2</v>
      </c>
      <c r="I17">
        <v>3</v>
      </c>
      <c r="J17">
        <v>41</v>
      </c>
      <c r="K17">
        <v>5</v>
      </c>
      <c r="L17" t="s">
        <v>30</v>
      </c>
      <c r="M17">
        <v>249</v>
      </c>
    </row>
    <row r="18" spans="1:13">
      <c r="A18">
        <f t="shared" ca="1" si="0"/>
        <v>0.510988023285746</v>
      </c>
      <c r="B18">
        <v>17</v>
      </c>
      <c r="C18" t="s">
        <v>8</v>
      </c>
      <c r="D18">
        <v>1</v>
      </c>
      <c r="E18" t="s">
        <v>134</v>
      </c>
      <c r="F18" t="s">
        <v>14</v>
      </c>
      <c r="G18">
        <v>1</v>
      </c>
      <c r="H18">
        <v>2</v>
      </c>
      <c r="I18">
        <v>1</v>
      </c>
      <c r="J18">
        <v>48</v>
      </c>
      <c r="K18">
        <v>8</v>
      </c>
      <c r="L18" t="s">
        <v>19</v>
      </c>
      <c r="M18">
        <v>55</v>
      </c>
    </row>
    <row r="19" spans="1:13">
      <c r="A19">
        <f t="shared" ca="1" si="0"/>
        <v>0.83753071052658723</v>
      </c>
      <c r="B19">
        <v>18</v>
      </c>
      <c r="C19" t="s">
        <v>7</v>
      </c>
      <c r="D19">
        <v>2</v>
      </c>
      <c r="E19" t="s">
        <v>140</v>
      </c>
      <c r="F19" t="s">
        <v>14</v>
      </c>
      <c r="G19">
        <v>0.8</v>
      </c>
      <c r="H19">
        <v>3</v>
      </c>
      <c r="I19">
        <v>0</v>
      </c>
      <c r="J19">
        <v>29</v>
      </c>
      <c r="K19">
        <v>4</v>
      </c>
      <c r="L19" t="s">
        <v>26</v>
      </c>
      <c r="M19">
        <v>47</v>
      </c>
    </row>
    <row r="20" spans="1:13">
      <c r="A20">
        <f t="shared" ca="1" si="0"/>
        <v>0.42756988417726061</v>
      </c>
      <c r="B20">
        <v>19</v>
      </c>
      <c r="C20" t="s">
        <v>8</v>
      </c>
      <c r="D20">
        <v>2</v>
      </c>
      <c r="E20" t="s">
        <v>140</v>
      </c>
      <c r="F20" t="s">
        <v>16</v>
      </c>
      <c r="G20">
        <v>1</v>
      </c>
      <c r="H20">
        <v>3</v>
      </c>
      <c r="I20">
        <v>1</v>
      </c>
      <c r="J20">
        <v>38</v>
      </c>
      <c r="K20">
        <v>1</v>
      </c>
      <c r="L20" t="s">
        <v>19</v>
      </c>
      <c r="M20">
        <v>56</v>
      </c>
    </row>
    <row r="21" spans="1:13">
      <c r="A21">
        <f t="shared" ca="1" si="0"/>
        <v>0.81509650030002834</v>
      </c>
      <c r="B21">
        <v>20</v>
      </c>
      <c r="C21" t="s">
        <v>8</v>
      </c>
      <c r="D21">
        <v>2</v>
      </c>
      <c r="E21" t="s">
        <v>140</v>
      </c>
      <c r="F21" t="s">
        <v>14</v>
      </c>
      <c r="G21">
        <v>1</v>
      </c>
      <c r="H21">
        <v>2</v>
      </c>
      <c r="I21">
        <v>2</v>
      </c>
      <c r="J21">
        <v>28</v>
      </c>
      <c r="K21">
        <v>8</v>
      </c>
      <c r="L21" t="s">
        <v>30</v>
      </c>
      <c r="M21">
        <v>193</v>
      </c>
    </row>
    <row r="22" spans="1:13">
      <c r="A22">
        <f t="shared" ca="1" si="0"/>
        <v>0.3660062353863156</v>
      </c>
      <c r="B22">
        <v>21</v>
      </c>
      <c r="C22" t="s">
        <v>8</v>
      </c>
      <c r="D22">
        <v>4</v>
      </c>
      <c r="E22" t="s">
        <v>137</v>
      </c>
      <c r="F22" t="s">
        <v>17</v>
      </c>
      <c r="G22">
        <v>1</v>
      </c>
      <c r="H22">
        <v>3</v>
      </c>
      <c r="I22">
        <v>1</v>
      </c>
      <c r="J22">
        <v>34</v>
      </c>
      <c r="K22">
        <v>1</v>
      </c>
      <c r="L22" t="s">
        <v>19</v>
      </c>
      <c r="M22">
        <v>106</v>
      </c>
    </row>
    <row r="23" spans="1:13">
      <c r="A23">
        <f t="shared" ca="1" si="0"/>
        <v>0.16634505156201695</v>
      </c>
      <c r="B23">
        <v>22</v>
      </c>
      <c r="C23" t="s">
        <v>8</v>
      </c>
      <c r="D23">
        <v>1</v>
      </c>
      <c r="E23" t="s">
        <v>134</v>
      </c>
      <c r="F23" t="s">
        <v>16</v>
      </c>
      <c r="G23">
        <v>1</v>
      </c>
      <c r="H23">
        <v>3</v>
      </c>
      <c r="I23">
        <v>3</v>
      </c>
      <c r="J23">
        <v>55</v>
      </c>
      <c r="K23">
        <v>5</v>
      </c>
      <c r="L23" t="s">
        <v>19</v>
      </c>
      <c r="M23">
        <v>403</v>
      </c>
    </row>
    <row r="24" spans="1:13">
      <c r="A24">
        <f t="shared" ca="1" si="0"/>
        <v>0.92106668205309328</v>
      </c>
      <c r="B24">
        <v>23</v>
      </c>
      <c r="C24" t="s">
        <v>8</v>
      </c>
      <c r="D24">
        <v>5</v>
      </c>
      <c r="E24" t="s">
        <v>136</v>
      </c>
      <c r="F24" t="s">
        <v>15</v>
      </c>
      <c r="G24">
        <v>1</v>
      </c>
      <c r="H24">
        <v>2</v>
      </c>
      <c r="I24">
        <v>1</v>
      </c>
      <c r="J24">
        <v>43</v>
      </c>
      <c r="K24">
        <v>1</v>
      </c>
      <c r="L24" t="s">
        <v>19</v>
      </c>
      <c r="M24">
        <v>59</v>
      </c>
    </row>
    <row r="25" spans="1:13">
      <c r="A25">
        <f t="shared" ca="1" si="0"/>
        <v>0.95879074503791484</v>
      </c>
      <c r="B25">
        <v>24</v>
      </c>
      <c r="C25" t="s">
        <v>8</v>
      </c>
      <c r="D25">
        <v>2</v>
      </c>
      <c r="E25" t="s">
        <v>140</v>
      </c>
      <c r="F25" t="s">
        <v>16</v>
      </c>
      <c r="G25">
        <v>1</v>
      </c>
      <c r="H25">
        <v>2</v>
      </c>
      <c r="I25">
        <v>1</v>
      </c>
      <c r="J25">
        <v>36</v>
      </c>
      <c r="K25">
        <v>6</v>
      </c>
      <c r="L25" t="s">
        <v>36</v>
      </c>
      <c r="M25">
        <v>131</v>
      </c>
    </row>
    <row r="26" spans="1:13">
      <c r="A26">
        <f t="shared" ca="1" si="0"/>
        <v>0.59413498904450424</v>
      </c>
      <c r="B26">
        <v>25</v>
      </c>
      <c r="C26" t="s">
        <v>8</v>
      </c>
      <c r="D26">
        <v>3</v>
      </c>
      <c r="E26" t="s">
        <v>135</v>
      </c>
      <c r="F26" t="s">
        <v>14</v>
      </c>
      <c r="G26">
        <v>1</v>
      </c>
      <c r="H26">
        <v>2</v>
      </c>
      <c r="I26">
        <v>3</v>
      </c>
      <c r="J26">
        <v>29</v>
      </c>
      <c r="K26">
        <v>6</v>
      </c>
      <c r="L26" t="s">
        <v>31</v>
      </c>
      <c r="M26">
        <v>308</v>
      </c>
    </row>
    <row r="27" spans="1:13">
      <c r="A27">
        <f t="shared" ca="1" si="0"/>
        <v>0.64480321154999509</v>
      </c>
      <c r="B27">
        <v>26</v>
      </c>
      <c r="C27" t="s">
        <v>8</v>
      </c>
      <c r="D27">
        <v>1</v>
      </c>
      <c r="E27" t="s">
        <v>134</v>
      </c>
      <c r="F27" t="s">
        <v>15</v>
      </c>
      <c r="G27">
        <v>1</v>
      </c>
      <c r="H27">
        <v>3</v>
      </c>
      <c r="I27">
        <v>0</v>
      </c>
      <c r="J27">
        <v>55</v>
      </c>
      <c r="K27">
        <v>5</v>
      </c>
      <c r="L27" t="s">
        <v>19</v>
      </c>
      <c r="M27">
        <v>8</v>
      </c>
    </row>
    <row r="28" spans="1:13">
      <c r="A28">
        <f t="shared" ca="1" si="0"/>
        <v>0.64699131690816125</v>
      </c>
      <c r="B28">
        <v>27</v>
      </c>
      <c r="C28" t="s">
        <v>8</v>
      </c>
      <c r="D28">
        <v>2</v>
      </c>
      <c r="E28" t="s">
        <v>140</v>
      </c>
      <c r="F28" t="s">
        <v>15</v>
      </c>
      <c r="G28">
        <v>1</v>
      </c>
      <c r="H28">
        <v>2</v>
      </c>
      <c r="I28">
        <v>2</v>
      </c>
      <c r="J28">
        <v>35</v>
      </c>
      <c r="K28">
        <v>4</v>
      </c>
      <c r="L28" t="s">
        <v>19</v>
      </c>
      <c r="M28">
        <v>195</v>
      </c>
    </row>
    <row r="29" spans="1:13">
      <c r="A29">
        <f t="shared" ca="1" si="0"/>
        <v>0.33888148412827657</v>
      </c>
      <c r="B29">
        <v>28</v>
      </c>
      <c r="C29" t="s">
        <v>8</v>
      </c>
      <c r="D29">
        <v>2</v>
      </c>
      <c r="E29" t="s">
        <v>140</v>
      </c>
      <c r="F29" t="s">
        <v>16</v>
      </c>
      <c r="G29">
        <v>1</v>
      </c>
      <c r="H29">
        <v>3</v>
      </c>
      <c r="I29">
        <v>0</v>
      </c>
      <c r="J29">
        <v>53</v>
      </c>
      <c r="K29">
        <v>4</v>
      </c>
      <c r="L29" t="s">
        <v>26</v>
      </c>
      <c r="M29">
        <v>36</v>
      </c>
    </row>
    <row r="30" spans="1:13">
      <c r="A30">
        <f t="shared" ca="1" si="0"/>
        <v>0.61322767152349678</v>
      </c>
      <c r="B30">
        <v>29</v>
      </c>
      <c r="C30" t="s">
        <v>7</v>
      </c>
      <c r="D30">
        <v>2</v>
      </c>
      <c r="E30" t="s">
        <v>140</v>
      </c>
      <c r="F30" t="s">
        <v>12</v>
      </c>
      <c r="G30">
        <v>1</v>
      </c>
      <c r="H30">
        <v>2</v>
      </c>
      <c r="I30">
        <v>3</v>
      </c>
      <c r="J30">
        <v>51</v>
      </c>
      <c r="K30">
        <v>4</v>
      </c>
      <c r="L30" t="s">
        <v>26</v>
      </c>
      <c r="M30">
        <v>364</v>
      </c>
    </row>
    <row r="31" spans="1:13">
      <c r="A31">
        <f t="shared" ca="1" si="0"/>
        <v>0.37385246466887212</v>
      </c>
      <c r="B31">
        <v>30</v>
      </c>
      <c r="C31" t="s">
        <v>8</v>
      </c>
      <c r="D31">
        <v>1</v>
      </c>
      <c r="E31" t="s">
        <v>134</v>
      </c>
      <c r="F31" t="s">
        <v>14</v>
      </c>
      <c r="G31">
        <v>1</v>
      </c>
      <c r="H31">
        <v>3</v>
      </c>
      <c r="I31">
        <v>3</v>
      </c>
      <c r="J31">
        <v>61</v>
      </c>
      <c r="K31">
        <v>8</v>
      </c>
      <c r="L31" t="s">
        <v>19</v>
      </c>
      <c r="M31">
        <v>412</v>
      </c>
    </row>
    <row r="32" spans="1:13">
      <c r="A32">
        <f t="shared" ca="1" si="0"/>
        <v>0.25498448897390447</v>
      </c>
      <c r="B32">
        <v>31</v>
      </c>
      <c r="C32" t="s">
        <v>8</v>
      </c>
      <c r="D32">
        <v>1</v>
      </c>
      <c r="E32" t="s">
        <v>134</v>
      </c>
      <c r="F32" t="s">
        <v>14</v>
      </c>
      <c r="G32">
        <v>1</v>
      </c>
      <c r="H32">
        <v>2</v>
      </c>
      <c r="I32">
        <v>2</v>
      </c>
      <c r="J32">
        <v>52</v>
      </c>
      <c r="K32">
        <v>7</v>
      </c>
      <c r="L32" t="s">
        <v>19</v>
      </c>
      <c r="M32">
        <v>166</v>
      </c>
    </row>
    <row r="33" spans="1:13">
      <c r="A33">
        <f t="shared" ca="1" si="0"/>
        <v>7.7444492630716288E-2</v>
      </c>
      <c r="B33">
        <v>32</v>
      </c>
      <c r="C33" t="s">
        <v>8</v>
      </c>
      <c r="D33">
        <v>4</v>
      </c>
      <c r="E33" t="s">
        <v>137</v>
      </c>
      <c r="F33" t="s">
        <v>16</v>
      </c>
      <c r="G33">
        <v>1</v>
      </c>
      <c r="H33">
        <v>2</v>
      </c>
      <c r="I33">
        <v>3</v>
      </c>
      <c r="J33">
        <v>37</v>
      </c>
      <c r="K33">
        <v>8</v>
      </c>
      <c r="L33" t="s">
        <v>19</v>
      </c>
      <c r="M33">
        <v>269</v>
      </c>
    </row>
    <row r="34" spans="1:13">
      <c r="A34">
        <f t="shared" ca="1" si="0"/>
        <v>0.16262113992115379</v>
      </c>
      <c r="B34">
        <v>33</v>
      </c>
      <c r="C34" t="s">
        <v>8</v>
      </c>
      <c r="D34">
        <v>3</v>
      </c>
      <c r="E34" t="s">
        <v>135</v>
      </c>
      <c r="F34" t="s">
        <v>16</v>
      </c>
      <c r="G34">
        <v>1</v>
      </c>
      <c r="H34">
        <v>3</v>
      </c>
      <c r="I34">
        <v>3</v>
      </c>
      <c r="J34">
        <v>58</v>
      </c>
      <c r="K34">
        <v>6</v>
      </c>
      <c r="L34" t="s">
        <v>30</v>
      </c>
      <c r="M34">
        <v>309</v>
      </c>
    </row>
    <row r="35" spans="1:13">
      <c r="A35">
        <f t="shared" ca="1" si="0"/>
        <v>0.36194616527476209</v>
      </c>
      <c r="B35">
        <v>34</v>
      </c>
      <c r="C35" t="s">
        <v>7</v>
      </c>
      <c r="D35">
        <v>3</v>
      </c>
      <c r="E35" t="s">
        <v>135</v>
      </c>
      <c r="F35" t="s">
        <v>15</v>
      </c>
      <c r="G35">
        <v>1</v>
      </c>
      <c r="H35">
        <v>2</v>
      </c>
      <c r="I35">
        <v>3</v>
      </c>
      <c r="J35">
        <v>29</v>
      </c>
      <c r="K35">
        <v>6</v>
      </c>
      <c r="L35" t="s">
        <v>19</v>
      </c>
      <c r="M35">
        <v>277</v>
      </c>
    </row>
    <row r="36" spans="1:13">
      <c r="A36">
        <f t="shared" ca="1" si="0"/>
        <v>0.55269003220679858</v>
      </c>
      <c r="B36">
        <v>35</v>
      </c>
      <c r="C36" t="s">
        <v>8</v>
      </c>
      <c r="D36">
        <v>2</v>
      </c>
      <c r="E36" t="s">
        <v>140</v>
      </c>
      <c r="F36" t="s">
        <v>15</v>
      </c>
      <c r="G36">
        <v>1</v>
      </c>
      <c r="H36">
        <v>3</v>
      </c>
      <c r="I36">
        <v>1</v>
      </c>
      <c r="J36">
        <v>35</v>
      </c>
      <c r="K36">
        <v>1</v>
      </c>
      <c r="L36" t="s">
        <v>19</v>
      </c>
      <c r="M36">
        <v>136</v>
      </c>
    </row>
    <row r="37" spans="1:13">
      <c r="A37">
        <f t="shared" ca="1" si="0"/>
        <v>0.83725820081724389</v>
      </c>
      <c r="B37">
        <v>36</v>
      </c>
      <c r="C37" t="s">
        <v>8</v>
      </c>
      <c r="D37">
        <v>4</v>
      </c>
      <c r="E37" t="s">
        <v>137</v>
      </c>
      <c r="F37" t="s">
        <v>16</v>
      </c>
      <c r="G37">
        <v>1</v>
      </c>
      <c r="H37">
        <v>2</v>
      </c>
      <c r="I37">
        <v>1</v>
      </c>
      <c r="J37">
        <v>35</v>
      </c>
      <c r="K37">
        <v>5</v>
      </c>
      <c r="L37" t="s">
        <v>42</v>
      </c>
      <c r="M37">
        <v>92</v>
      </c>
    </row>
    <row r="38" spans="1:13">
      <c r="A38">
        <f t="shared" ca="1" si="0"/>
        <v>0.63256987862539615</v>
      </c>
      <c r="B38">
        <v>37</v>
      </c>
      <c r="C38" t="s">
        <v>8</v>
      </c>
      <c r="D38">
        <v>1</v>
      </c>
      <c r="E38" t="s">
        <v>134</v>
      </c>
      <c r="F38" t="s">
        <v>14</v>
      </c>
      <c r="G38">
        <v>1</v>
      </c>
      <c r="H38">
        <v>3</v>
      </c>
      <c r="I38">
        <v>4</v>
      </c>
      <c r="J38">
        <v>40</v>
      </c>
      <c r="K38">
        <v>8</v>
      </c>
      <c r="L38" t="s">
        <v>19</v>
      </c>
      <c r="M38">
        <v>433</v>
      </c>
    </row>
    <row r="39" spans="1:13">
      <c r="A39">
        <f t="shared" ca="1" si="0"/>
        <v>0.56293399541762656</v>
      </c>
      <c r="B39">
        <v>38</v>
      </c>
      <c r="C39" t="s">
        <v>8</v>
      </c>
      <c r="D39">
        <v>1</v>
      </c>
      <c r="E39" t="s">
        <v>134</v>
      </c>
      <c r="F39" t="s">
        <v>14</v>
      </c>
      <c r="G39">
        <v>1</v>
      </c>
      <c r="H39">
        <v>3</v>
      </c>
      <c r="I39">
        <v>3</v>
      </c>
      <c r="J39">
        <v>48</v>
      </c>
      <c r="K39">
        <v>0</v>
      </c>
      <c r="L39" t="s">
        <v>26</v>
      </c>
      <c r="M39">
        <v>416</v>
      </c>
    </row>
    <row r="40" spans="1:13">
      <c r="A40">
        <f t="shared" ca="1" si="0"/>
        <v>0.64881535656048517</v>
      </c>
      <c r="B40">
        <v>39</v>
      </c>
      <c r="C40" t="s">
        <v>8</v>
      </c>
      <c r="D40">
        <v>2</v>
      </c>
      <c r="E40" t="s">
        <v>140</v>
      </c>
      <c r="F40" t="s">
        <v>15</v>
      </c>
      <c r="G40">
        <v>1</v>
      </c>
      <c r="H40">
        <v>2</v>
      </c>
      <c r="I40">
        <v>0</v>
      </c>
      <c r="J40">
        <v>46</v>
      </c>
      <c r="K40">
        <v>5</v>
      </c>
      <c r="L40" t="s">
        <v>19</v>
      </c>
      <c r="M40">
        <v>44</v>
      </c>
    </row>
    <row r="41" spans="1:13">
      <c r="A41">
        <f t="shared" ca="1" si="0"/>
        <v>0.35686006605708365</v>
      </c>
      <c r="B41">
        <v>40</v>
      </c>
      <c r="C41" t="s">
        <v>8</v>
      </c>
      <c r="D41">
        <v>1</v>
      </c>
      <c r="E41" t="s">
        <v>134</v>
      </c>
      <c r="F41" t="s">
        <v>14</v>
      </c>
      <c r="G41">
        <v>1</v>
      </c>
      <c r="H41">
        <v>3</v>
      </c>
      <c r="I41">
        <v>0</v>
      </c>
      <c r="J41">
        <v>49</v>
      </c>
      <c r="K41">
        <v>1</v>
      </c>
      <c r="L41" t="s">
        <v>30</v>
      </c>
      <c r="M41">
        <v>45</v>
      </c>
    </row>
    <row r="42" spans="1:13">
      <c r="A42">
        <f t="shared" ca="1" si="0"/>
        <v>0.56427588680740104</v>
      </c>
      <c r="B42">
        <v>41</v>
      </c>
      <c r="C42" t="s">
        <v>8</v>
      </c>
      <c r="D42">
        <v>1</v>
      </c>
      <c r="E42" t="s">
        <v>134</v>
      </c>
      <c r="F42" t="s">
        <v>14</v>
      </c>
      <c r="G42">
        <v>1</v>
      </c>
      <c r="H42">
        <v>3</v>
      </c>
      <c r="I42">
        <v>2</v>
      </c>
      <c r="J42">
        <v>40</v>
      </c>
      <c r="K42">
        <v>5</v>
      </c>
      <c r="L42" t="s">
        <v>31</v>
      </c>
      <c r="M42">
        <v>224</v>
      </c>
    </row>
    <row r="43" spans="1:13">
      <c r="A43">
        <f t="shared" ca="1" si="0"/>
        <v>7.0321561317247872E-2</v>
      </c>
      <c r="B43">
        <v>42</v>
      </c>
      <c r="C43" t="s">
        <v>8</v>
      </c>
      <c r="D43">
        <v>1</v>
      </c>
      <c r="E43" t="s">
        <v>134</v>
      </c>
      <c r="F43" t="s">
        <v>14</v>
      </c>
      <c r="G43">
        <v>1</v>
      </c>
      <c r="H43">
        <v>3</v>
      </c>
      <c r="I43">
        <v>2</v>
      </c>
      <c r="J43">
        <v>53</v>
      </c>
      <c r="K43">
        <v>2</v>
      </c>
      <c r="L43" t="s">
        <v>19</v>
      </c>
      <c r="M43">
        <v>211</v>
      </c>
    </row>
    <row r="44" spans="1:13">
      <c r="A44">
        <f t="shared" ca="1" si="0"/>
        <v>0.24377314632586744</v>
      </c>
      <c r="B44">
        <v>43</v>
      </c>
      <c r="C44" t="s">
        <v>8</v>
      </c>
      <c r="D44">
        <v>4</v>
      </c>
      <c r="E44" t="s">
        <v>137</v>
      </c>
      <c r="F44" t="s">
        <v>14</v>
      </c>
      <c r="G44">
        <v>1</v>
      </c>
      <c r="H44">
        <v>2</v>
      </c>
      <c r="I44">
        <v>1</v>
      </c>
      <c r="J44">
        <v>33</v>
      </c>
      <c r="K44">
        <v>2</v>
      </c>
      <c r="L44" t="s">
        <v>19</v>
      </c>
      <c r="M44">
        <v>71</v>
      </c>
    </row>
    <row r="45" spans="1:13">
      <c r="A45">
        <f t="shared" ca="1" si="0"/>
        <v>2.2276272788290474E-2</v>
      </c>
      <c r="B45">
        <v>44</v>
      </c>
      <c r="C45" t="s">
        <v>8</v>
      </c>
      <c r="D45">
        <v>1</v>
      </c>
      <c r="E45" t="s">
        <v>134</v>
      </c>
      <c r="F45" t="s">
        <v>16</v>
      </c>
      <c r="G45">
        <v>1</v>
      </c>
      <c r="H45">
        <v>2</v>
      </c>
      <c r="I45">
        <v>3</v>
      </c>
      <c r="J45">
        <v>40</v>
      </c>
      <c r="K45">
        <v>8</v>
      </c>
      <c r="L45" t="s">
        <v>26</v>
      </c>
      <c r="M45">
        <v>291</v>
      </c>
    </row>
    <row r="46" spans="1:13">
      <c r="A46">
        <f t="shared" ca="1" si="0"/>
        <v>0.94857471430143336</v>
      </c>
      <c r="B46">
        <v>45</v>
      </c>
      <c r="C46" t="s">
        <v>8</v>
      </c>
      <c r="D46">
        <v>5</v>
      </c>
      <c r="E46" t="s">
        <v>136</v>
      </c>
      <c r="F46" t="s">
        <v>15</v>
      </c>
      <c r="G46">
        <v>1</v>
      </c>
      <c r="H46">
        <v>2</v>
      </c>
      <c r="I46">
        <v>8</v>
      </c>
      <c r="J46">
        <v>43</v>
      </c>
      <c r="K46">
        <v>9</v>
      </c>
      <c r="L46" t="s">
        <v>19</v>
      </c>
      <c r="M46">
        <v>495</v>
      </c>
    </row>
    <row r="47" spans="1:13">
      <c r="A47">
        <f t="shared" ca="1" si="0"/>
        <v>0.39259605417736754</v>
      </c>
      <c r="B47">
        <v>46</v>
      </c>
      <c r="C47" t="s">
        <v>8</v>
      </c>
      <c r="D47">
        <v>1</v>
      </c>
      <c r="E47" t="s">
        <v>134</v>
      </c>
      <c r="F47" t="s">
        <v>15</v>
      </c>
      <c r="G47">
        <v>1</v>
      </c>
      <c r="H47">
        <v>3</v>
      </c>
      <c r="I47">
        <v>1</v>
      </c>
      <c r="J47">
        <v>28</v>
      </c>
      <c r="K47">
        <v>9</v>
      </c>
      <c r="L47" t="s">
        <v>31</v>
      </c>
      <c r="M47">
        <v>94</v>
      </c>
    </row>
    <row r="48" spans="1:13">
      <c r="A48">
        <f t="shared" ca="1" si="0"/>
        <v>0.40657580247613501</v>
      </c>
      <c r="B48">
        <v>47</v>
      </c>
      <c r="C48" t="s">
        <v>7</v>
      </c>
      <c r="D48">
        <v>3</v>
      </c>
      <c r="E48" t="s">
        <v>135</v>
      </c>
      <c r="F48" t="s">
        <v>13</v>
      </c>
      <c r="G48">
        <v>1</v>
      </c>
      <c r="H48">
        <v>3</v>
      </c>
      <c r="I48">
        <v>3</v>
      </c>
      <c r="J48">
        <v>46</v>
      </c>
      <c r="K48">
        <v>4</v>
      </c>
      <c r="L48" t="s">
        <v>31</v>
      </c>
      <c r="M48">
        <v>330</v>
      </c>
    </row>
    <row r="49" spans="1:13">
      <c r="A49">
        <f t="shared" ca="1" si="0"/>
        <v>0.23351211706744146</v>
      </c>
      <c r="B49">
        <v>48</v>
      </c>
      <c r="C49" t="s">
        <v>8</v>
      </c>
      <c r="D49">
        <v>1</v>
      </c>
      <c r="E49" t="s">
        <v>134</v>
      </c>
      <c r="F49" t="s">
        <v>14</v>
      </c>
      <c r="G49">
        <v>1</v>
      </c>
      <c r="H49">
        <v>2</v>
      </c>
      <c r="I49">
        <v>2</v>
      </c>
      <c r="J49">
        <v>53</v>
      </c>
      <c r="K49">
        <v>9</v>
      </c>
      <c r="L49" t="s">
        <v>31</v>
      </c>
      <c r="M49">
        <v>162</v>
      </c>
    </row>
    <row r="50" spans="1:13">
      <c r="A50">
        <f t="shared" ca="1" si="0"/>
        <v>3.0787538622025878E-2</v>
      </c>
      <c r="B50">
        <v>49</v>
      </c>
      <c r="C50" t="s">
        <v>7</v>
      </c>
      <c r="D50">
        <v>1</v>
      </c>
      <c r="E50" t="s">
        <v>134</v>
      </c>
      <c r="F50" t="s">
        <v>13</v>
      </c>
      <c r="G50">
        <v>1</v>
      </c>
      <c r="H50">
        <v>2</v>
      </c>
      <c r="I50">
        <v>3</v>
      </c>
      <c r="J50">
        <v>59</v>
      </c>
      <c r="K50">
        <v>9</v>
      </c>
      <c r="L50" t="s">
        <v>19</v>
      </c>
      <c r="M50">
        <v>331</v>
      </c>
    </row>
    <row r="51" spans="1:13">
      <c r="A51">
        <f t="shared" ca="1" si="0"/>
        <v>0.32052078564409181</v>
      </c>
      <c r="B51">
        <v>50</v>
      </c>
      <c r="C51" t="s">
        <v>8</v>
      </c>
      <c r="D51">
        <v>1</v>
      </c>
      <c r="E51" t="s">
        <v>134</v>
      </c>
      <c r="F51" t="s">
        <v>14</v>
      </c>
      <c r="G51">
        <v>1</v>
      </c>
      <c r="H51">
        <v>2</v>
      </c>
      <c r="I51">
        <v>1</v>
      </c>
      <c r="J51">
        <v>29</v>
      </c>
      <c r="K51">
        <v>9</v>
      </c>
      <c r="L51" t="s">
        <v>39</v>
      </c>
      <c r="M51">
        <v>69</v>
      </c>
    </row>
    <row r="52" spans="1:13">
      <c r="A52">
        <f t="shared" ca="1" si="0"/>
        <v>0.58080438596634121</v>
      </c>
      <c r="B52">
        <v>51</v>
      </c>
      <c r="C52" t="s">
        <v>8</v>
      </c>
      <c r="D52">
        <v>3</v>
      </c>
      <c r="E52" t="s">
        <v>135</v>
      </c>
      <c r="F52" t="s">
        <v>14</v>
      </c>
      <c r="G52">
        <v>1</v>
      </c>
      <c r="H52">
        <v>3</v>
      </c>
      <c r="I52">
        <v>7</v>
      </c>
      <c r="J52">
        <v>31</v>
      </c>
      <c r="K52">
        <v>8</v>
      </c>
      <c r="L52" t="s">
        <v>19</v>
      </c>
      <c r="M52">
        <v>491</v>
      </c>
    </row>
    <row r="53" spans="1:13">
      <c r="A53">
        <f t="shared" ca="1" si="0"/>
        <v>9.4289413092288998E-2</v>
      </c>
      <c r="B53">
        <v>52</v>
      </c>
      <c r="C53" t="s">
        <v>8</v>
      </c>
      <c r="D53">
        <v>3</v>
      </c>
      <c r="E53" t="s">
        <v>135</v>
      </c>
      <c r="F53" t="s">
        <v>16</v>
      </c>
      <c r="G53">
        <v>1</v>
      </c>
      <c r="H53">
        <v>2</v>
      </c>
      <c r="I53">
        <v>3</v>
      </c>
      <c r="J53">
        <v>26</v>
      </c>
      <c r="K53">
        <v>8</v>
      </c>
      <c r="L53" t="s">
        <v>31</v>
      </c>
      <c r="M53">
        <v>264</v>
      </c>
    </row>
    <row r="54" spans="1:13">
      <c r="A54">
        <f t="shared" ca="1" si="0"/>
        <v>1.2513585374921976E-2</v>
      </c>
      <c r="B54">
        <v>53</v>
      </c>
      <c r="C54" t="s">
        <v>8</v>
      </c>
      <c r="D54">
        <v>2</v>
      </c>
      <c r="E54" t="s">
        <v>140</v>
      </c>
      <c r="F54" t="s">
        <v>16</v>
      </c>
      <c r="G54">
        <v>1</v>
      </c>
      <c r="H54">
        <v>3</v>
      </c>
      <c r="I54">
        <v>5</v>
      </c>
      <c r="J54">
        <v>44</v>
      </c>
      <c r="K54">
        <v>8</v>
      </c>
      <c r="L54" t="s">
        <v>19</v>
      </c>
      <c r="M54">
        <v>472</v>
      </c>
    </row>
    <row r="55" spans="1:13">
      <c r="A55">
        <f t="shared" ca="1" si="0"/>
        <v>0.86174651997435114</v>
      </c>
      <c r="B55">
        <v>54</v>
      </c>
      <c r="C55" t="s">
        <v>8</v>
      </c>
      <c r="D55">
        <v>3</v>
      </c>
      <c r="E55" t="s">
        <v>135</v>
      </c>
      <c r="F55" t="s">
        <v>14</v>
      </c>
      <c r="G55">
        <v>1</v>
      </c>
      <c r="H55">
        <v>4</v>
      </c>
      <c r="I55">
        <v>3</v>
      </c>
      <c r="J55">
        <v>55</v>
      </c>
      <c r="K55">
        <v>8</v>
      </c>
      <c r="L55" t="s">
        <v>19</v>
      </c>
      <c r="M55">
        <v>270</v>
      </c>
    </row>
    <row r="56" spans="1:13">
      <c r="A56">
        <f t="shared" ca="1" si="0"/>
        <v>0.22649164803401722</v>
      </c>
      <c r="B56">
        <v>55</v>
      </c>
      <c r="C56" t="s">
        <v>8</v>
      </c>
      <c r="D56">
        <v>1</v>
      </c>
      <c r="E56" t="s">
        <v>134</v>
      </c>
      <c r="F56" t="s">
        <v>16</v>
      </c>
      <c r="G56">
        <v>1</v>
      </c>
      <c r="H56">
        <v>2</v>
      </c>
      <c r="I56">
        <v>3</v>
      </c>
      <c r="J56">
        <v>45</v>
      </c>
      <c r="K56">
        <v>8</v>
      </c>
      <c r="L56" t="s">
        <v>19</v>
      </c>
      <c r="M56">
        <v>255</v>
      </c>
    </row>
    <row r="57" spans="1:13">
      <c r="A57">
        <f t="shared" ca="1" si="0"/>
        <v>0.8847682989429918</v>
      </c>
      <c r="B57">
        <v>56</v>
      </c>
      <c r="C57" t="s">
        <v>8</v>
      </c>
      <c r="D57">
        <v>1</v>
      </c>
      <c r="E57" t="s">
        <v>134</v>
      </c>
      <c r="F57" t="s">
        <v>16</v>
      </c>
      <c r="G57">
        <v>1</v>
      </c>
      <c r="H57">
        <v>3</v>
      </c>
      <c r="I57">
        <v>0</v>
      </c>
      <c r="J57">
        <v>54</v>
      </c>
      <c r="K57">
        <v>0</v>
      </c>
      <c r="L57" t="s">
        <v>19</v>
      </c>
      <c r="M57">
        <v>18</v>
      </c>
    </row>
    <row r="58" spans="1:13">
      <c r="A58">
        <f t="shared" ca="1" si="0"/>
        <v>0.95728385626393986</v>
      </c>
      <c r="B58">
        <v>57</v>
      </c>
      <c r="C58" t="s">
        <v>7</v>
      </c>
      <c r="D58">
        <v>3</v>
      </c>
      <c r="E58" t="s">
        <v>135</v>
      </c>
      <c r="F58" t="s">
        <v>16</v>
      </c>
      <c r="G58">
        <v>1</v>
      </c>
      <c r="H58">
        <v>4</v>
      </c>
      <c r="I58">
        <v>3</v>
      </c>
      <c r="J58">
        <v>50</v>
      </c>
      <c r="K58">
        <v>4</v>
      </c>
      <c r="L58" t="s">
        <v>36</v>
      </c>
      <c r="M58">
        <v>340</v>
      </c>
    </row>
    <row r="59" spans="1:13">
      <c r="A59">
        <f t="shared" ca="1" si="0"/>
        <v>0.3995089402167401</v>
      </c>
      <c r="B59">
        <v>58</v>
      </c>
      <c r="C59" t="s">
        <v>8</v>
      </c>
      <c r="D59">
        <v>3</v>
      </c>
      <c r="E59" t="s">
        <v>135</v>
      </c>
      <c r="F59" t="s">
        <v>14</v>
      </c>
      <c r="G59">
        <v>1</v>
      </c>
      <c r="H59">
        <v>4</v>
      </c>
      <c r="I59">
        <v>2</v>
      </c>
      <c r="J59">
        <v>50</v>
      </c>
      <c r="K59">
        <v>2</v>
      </c>
      <c r="L59" t="s">
        <v>19</v>
      </c>
      <c r="M59">
        <v>230</v>
      </c>
    </row>
    <row r="60" spans="1:13">
      <c r="A60">
        <f t="shared" ca="1" si="0"/>
        <v>0.78018686413706062</v>
      </c>
      <c r="B60">
        <v>59</v>
      </c>
      <c r="C60" t="s">
        <v>8</v>
      </c>
      <c r="D60">
        <v>1</v>
      </c>
      <c r="E60" t="s">
        <v>134</v>
      </c>
      <c r="F60" t="s">
        <v>14</v>
      </c>
      <c r="G60">
        <v>1</v>
      </c>
      <c r="H60">
        <v>2</v>
      </c>
      <c r="I60">
        <v>0</v>
      </c>
      <c r="J60">
        <v>56</v>
      </c>
      <c r="K60">
        <v>1</v>
      </c>
      <c r="L60" t="s">
        <v>19</v>
      </c>
      <c r="M60">
        <v>28</v>
      </c>
    </row>
    <row r="61" spans="1:13">
      <c r="A61">
        <f t="shared" ca="1" si="0"/>
        <v>0.60648616026485058</v>
      </c>
      <c r="B61">
        <v>60</v>
      </c>
      <c r="C61" t="s">
        <v>8</v>
      </c>
      <c r="D61">
        <v>1</v>
      </c>
      <c r="E61" t="s">
        <v>134</v>
      </c>
      <c r="F61" t="s">
        <v>14</v>
      </c>
      <c r="G61">
        <v>1</v>
      </c>
      <c r="H61">
        <v>2</v>
      </c>
      <c r="I61">
        <v>0</v>
      </c>
      <c r="J61">
        <v>45</v>
      </c>
      <c r="K61">
        <v>4</v>
      </c>
      <c r="L61" t="s">
        <v>31</v>
      </c>
      <c r="M61">
        <v>13</v>
      </c>
    </row>
    <row r="62" spans="1:13">
      <c r="A62">
        <f t="shared" ca="1" si="0"/>
        <v>0.24390423441289699</v>
      </c>
      <c r="B62">
        <v>61</v>
      </c>
      <c r="C62" t="s">
        <v>7</v>
      </c>
      <c r="D62">
        <v>1</v>
      </c>
      <c r="E62" t="s">
        <v>134</v>
      </c>
      <c r="F62" t="s">
        <v>16</v>
      </c>
      <c r="G62">
        <v>1</v>
      </c>
      <c r="H62">
        <v>2</v>
      </c>
      <c r="I62">
        <v>3</v>
      </c>
      <c r="J62">
        <v>54</v>
      </c>
      <c r="K62">
        <v>4</v>
      </c>
      <c r="L62" t="s">
        <v>31</v>
      </c>
      <c r="M62">
        <v>271</v>
      </c>
    </row>
    <row r="63" spans="1:13">
      <c r="A63">
        <f t="shared" ca="1" si="0"/>
        <v>0.89466003663547422</v>
      </c>
      <c r="B63">
        <v>62</v>
      </c>
      <c r="C63" t="s">
        <v>7</v>
      </c>
      <c r="D63">
        <v>2</v>
      </c>
      <c r="E63" t="s">
        <v>140</v>
      </c>
      <c r="F63" t="s">
        <v>14</v>
      </c>
      <c r="G63">
        <v>0.8</v>
      </c>
      <c r="H63">
        <v>3</v>
      </c>
      <c r="I63">
        <v>1</v>
      </c>
      <c r="J63">
        <v>30</v>
      </c>
      <c r="K63">
        <v>8</v>
      </c>
      <c r="L63" t="s">
        <v>19</v>
      </c>
      <c r="M63">
        <v>102</v>
      </c>
    </row>
    <row r="64" spans="1:13">
      <c r="A64">
        <f t="shared" ca="1" si="0"/>
        <v>0.48980691347612781</v>
      </c>
      <c r="B64">
        <v>63</v>
      </c>
      <c r="C64" t="s">
        <v>8</v>
      </c>
      <c r="D64">
        <v>1</v>
      </c>
      <c r="E64" t="s">
        <v>134</v>
      </c>
      <c r="F64" t="s">
        <v>16</v>
      </c>
      <c r="G64">
        <v>1</v>
      </c>
      <c r="H64">
        <v>2</v>
      </c>
      <c r="I64">
        <v>1</v>
      </c>
      <c r="J64">
        <v>23</v>
      </c>
      <c r="K64">
        <v>1</v>
      </c>
      <c r="L64" t="s">
        <v>38</v>
      </c>
      <c r="M64">
        <v>155</v>
      </c>
    </row>
    <row r="65" spans="1:13">
      <c r="A65">
        <f t="shared" ca="1" si="0"/>
        <v>0.54939485792513743</v>
      </c>
      <c r="B65">
        <v>64</v>
      </c>
      <c r="C65" t="s">
        <v>8</v>
      </c>
      <c r="D65">
        <v>5</v>
      </c>
      <c r="E65" t="s">
        <v>136</v>
      </c>
      <c r="F65" t="s">
        <v>16</v>
      </c>
      <c r="G65">
        <v>1</v>
      </c>
      <c r="H65">
        <v>1</v>
      </c>
      <c r="I65">
        <v>3</v>
      </c>
      <c r="J65">
        <v>33</v>
      </c>
      <c r="K65">
        <v>9</v>
      </c>
      <c r="L65" t="s">
        <v>19</v>
      </c>
      <c r="M65">
        <v>327</v>
      </c>
    </row>
    <row r="66" spans="1:13">
      <c r="A66">
        <f t="shared" ref="A66:A129" ca="1" si="1">RAND()</f>
        <v>0.55488649301835824</v>
      </c>
      <c r="B66">
        <v>65</v>
      </c>
      <c r="C66" t="s">
        <v>7</v>
      </c>
      <c r="D66">
        <v>5</v>
      </c>
      <c r="E66" t="s">
        <v>136</v>
      </c>
      <c r="F66" t="s">
        <v>16</v>
      </c>
      <c r="G66">
        <v>1</v>
      </c>
      <c r="H66">
        <v>3</v>
      </c>
      <c r="I66">
        <v>3</v>
      </c>
      <c r="J66">
        <v>42</v>
      </c>
      <c r="K66">
        <v>4</v>
      </c>
      <c r="L66" t="s">
        <v>31</v>
      </c>
      <c r="M66">
        <v>365</v>
      </c>
    </row>
    <row r="67" spans="1:13">
      <c r="A67">
        <f t="shared" ca="1" si="1"/>
        <v>0.92198653222325933</v>
      </c>
      <c r="B67">
        <v>66</v>
      </c>
      <c r="C67" t="s">
        <v>7</v>
      </c>
      <c r="D67">
        <v>4</v>
      </c>
      <c r="E67" t="s">
        <v>137</v>
      </c>
      <c r="F67" t="s">
        <v>16</v>
      </c>
      <c r="G67">
        <v>1</v>
      </c>
      <c r="H67">
        <v>2</v>
      </c>
      <c r="I67">
        <v>3</v>
      </c>
      <c r="J67">
        <v>39</v>
      </c>
      <c r="K67">
        <v>9</v>
      </c>
      <c r="L67" t="s">
        <v>19</v>
      </c>
      <c r="M67">
        <v>252</v>
      </c>
    </row>
    <row r="68" spans="1:13">
      <c r="A68">
        <f t="shared" ca="1" si="1"/>
        <v>0.89535767736726191</v>
      </c>
      <c r="B68">
        <v>67</v>
      </c>
      <c r="C68" t="s">
        <v>8</v>
      </c>
      <c r="D68">
        <v>5</v>
      </c>
      <c r="E68" t="s">
        <v>136</v>
      </c>
      <c r="F68" t="s">
        <v>14</v>
      </c>
      <c r="G68">
        <v>1</v>
      </c>
      <c r="H68">
        <v>2</v>
      </c>
      <c r="I68">
        <v>2</v>
      </c>
      <c r="J68">
        <v>45</v>
      </c>
      <c r="K68">
        <v>8</v>
      </c>
      <c r="L68" t="s">
        <v>33</v>
      </c>
      <c r="M68">
        <v>238</v>
      </c>
    </row>
    <row r="69" spans="1:13">
      <c r="A69">
        <f t="shared" ca="1" si="1"/>
        <v>0.9310553816417857</v>
      </c>
      <c r="B69">
        <v>68</v>
      </c>
      <c r="C69" t="s">
        <v>8</v>
      </c>
      <c r="D69">
        <v>2</v>
      </c>
      <c r="E69" t="s">
        <v>140</v>
      </c>
      <c r="F69" t="s">
        <v>16</v>
      </c>
      <c r="G69">
        <v>1</v>
      </c>
      <c r="H69">
        <v>3</v>
      </c>
      <c r="I69">
        <v>3</v>
      </c>
      <c r="J69">
        <v>46</v>
      </c>
      <c r="K69">
        <v>6</v>
      </c>
      <c r="L69" t="s">
        <v>19</v>
      </c>
      <c r="M69">
        <v>274</v>
      </c>
    </row>
    <row r="70" spans="1:13">
      <c r="A70">
        <f t="shared" ca="1" si="1"/>
        <v>0.39530329335398851</v>
      </c>
      <c r="B70">
        <v>69</v>
      </c>
      <c r="C70" t="s">
        <v>7</v>
      </c>
      <c r="D70">
        <v>1</v>
      </c>
      <c r="E70" t="s">
        <v>134</v>
      </c>
      <c r="F70" t="s">
        <v>14</v>
      </c>
      <c r="G70">
        <v>1</v>
      </c>
      <c r="H70">
        <v>3</v>
      </c>
      <c r="I70">
        <v>1</v>
      </c>
      <c r="J70">
        <v>58</v>
      </c>
      <c r="K70">
        <v>2</v>
      </c>
      <c r="L70" t="s">
        <v>36</v>
      </c>
      <c r="M70">
        <v>78</v>
      </c>
    </row>
    <row r="71" spans="1:13">
      <c r="A71">
        <f t="shared" ca="1" si="1"/>
        <v>0.36044676781553142</v>
      </c>
      <c r="B71">
        <v>70</v>
      </c>
      <c r="C71" t="s">
        <v>8</v>
      </c>
      <c r="D71">
        <v>2</v>
      </c>
      <c r="E71" t="s">
        <v>140</v>
      </c>
      <c r="F71" t="s">
        <v>16</v>
      </c>
      <c r="G71">
        <v>1</v>
      </c>
      <c r="H71">
        <v>3</v>
      </c>
      <c r="I71">
        <v>0</v>
      </c>
      <c r="J71">
        <v>48</v>
      </c>
      <c r="K71">
        <v>3</v>
      </c>
      <c r="L71" t="s">
        <v>19</v>
      </c>
      <c r="M71">
        <v>38</v>
      </c>
    </row>
    <row r="72" spans="1:13">
      <c r="A72">
        <f t="shared" ca="1" si="1"/>
        <v>0.33604096773208314</v>
      </c>
      <c r="B72">
        <v>71</v>
      </c>
      <c r="C72" t="s">
        <v>7</v>
      </c>
      <c r="D72">
        <v>3</v>
      </c>
      <c r="E72" t="s">
        <v>135</v>
      </c>
      <c r="F72" t="s">
        <v>14</v>
      </c>
      <c r="G72">
        <v>1</v>
      </c>
      <c r="H72">
        <v>2</v>
      </c>
      <c r="I72">
        <v>2</v>
      </c>
      <c r="J72">
        <v>27</v>
      </c>
      <c r="K72">
        <v>9</v>
      </c>
      <c r="L72" t="s">
        <v>19</v>
      </c>
      <c r="M72">
        <v>183</v>
      </c>
    </row>
    <row r="73" spans="1:13">
      <c r="A73">
        <f t="shared" ca="1" si="1"/>
        <v>4.7136932131875864E-2</v>
      </c>
      <c r="B73">
        <v>72</v>
      </c>
      <c r="C73" t="s">
        <v>7</v>
      </c>
      <c r="D73">
        <v>2</v>
      </c>
      <c r="E73" t="s">
        <v>140</v>
      </c>
      <c r="F73" t="s">
        <v>14</v>
      </c>
      <c r="G73">
        <v>1</v>
      </c>
      <c r="H73">
        <v>2</v>
      </c>
      <c r="I73">
        <v>1</v>
      </c>
      <c r="J73">
        <v>29</v>
      </c>
      <c r="K73">
        <v>4</v>
      </c>
      <c r="L73" t="s">
        <v>31</v>
      </c>
      <c r="M73">
        <v>111</v>
      </c>
    </row>
    <row r="74" spans="1:13">
      <c r="A74">
        <f t="shared" ca="1" si="1"/>
        <v>0.33741074852524455</v>
      </c>
      <c r="B74">
        <v>73</v>
      </c>
      <c r="C74" t="s">
        <v>8</v>
      </c>
      <c r="D74">
        <v>5</v>
      </c>
      <c r="E74" t="s">
        <v>136</v>
      </c>
      <c r="F74" t="s">
        <v>14</v>
      </c>
      <c r="G74">
        <v>1</v>
      </c>
      <c r="H74">
        <v>2</v>
      </c>
      <c r="I74">
        <v>4</v>
      </c>
      <c r="J74">
        <v>49</v>
      </c>
      <c r="K74">
        <v>0</v>
      </c>
      <c r="L74" t="s">
        <v>19</v>
      </c>
      <c r="M74">
        <v>430</v>
      </c>
    </row>
    <row r="75" spans="1:13">
      <c r="A75">
        <f t="shared" ca="1" si="1"/>
        <v>0.60328767668410144</v>
      </c>
      <c r="B75">
        <v>74</v>
      </c>
      <c r="C75" t="s">
        <v>7</v>
      </c>
      <c r="D75">
        <v>2</v>
      </c>
      <c r="E75" t="s">
        <v>140</v>
      </c>
      <c r="F75" t="s">
        <v>16</v>
      </c>
      <c r="G75">
        <v>0.8</v>
      </c>
      <c r="H75">
        <v>2</v>
      </c>
      <c r="I75">
        <v>2</v>
      </c>
      <c r="J75">
        <v>44</v>
      </c>
      <c r="K75">
        <v>3</v>
      </c>
      <c r="L75" t="s">
        <v>19</v>
      </c>
      <c r="M75">
        <v>182</v>
      </c>
    </row>
    <row r="76" spans="1:13">
      <c r="A76">
        <f t="shared" ca="1" si="1"/>
        <v>0.26029530255325251</v>
      </c>
      <c r="B76">
        <v>75</v>
      </c>
      <c r="C76" t="s">
        <v>8</v>
      </c>
      <c r="D76">
        <v>1</v>
      </c>
      <c r="E76" t="s">
        <v>134</v>
      </c>
      <c r="F76" t="s">
        <v>16</v>
      </c>
      <c r="G76">
        <v>1</v>
      </c>
      <c r="H76">
        <v>2</v>
      </c>
      <c r="I76">
        <v>3</v>
      </c>
      <c r="J76">
        <v>54</v>
      </c>
      <c r="K76">
        <v>6</v>
      </c>
      <c r="L76" t="s">
        <v>19</v>
      </c>
      <c r="M76">
        <v>293</v>
      </c>
    </row>
    <row r="77" spans="1:13">
      <c r="A77">
        <f t="shared" ca="1" si="1"/>
        <v>0.68387901041594956</v>
      </c>
      <c r="B77">
        <v>76</v>
      </c>
      <c r="C77" t="s">
        <v>7</v>
      </c>
      <c r="D77">
        <v>4</v>
      </c>
      <c r="E77" t="s">
        <v>137</v>
      </c>
      <c r="F77" t="s">
        <v>15</v>
      </c>
      <c r="G77">
        <v>1</v>
      </c>
      <c r="H77">
        <v>2</v>
      </c>
      <c r="I77">
        <v>3</v>
      </c>
      <c r="J77">
        <v>34</v>
      </c>
      <c r="K77">
        <v>8</v>
      </c>
      <c r="L77" t="s">
        <v>19</v>
      </c>
      <c r="M77">
        <v>288</v>
      </c>
    </row>
    <row r="78" spans="1:13">
      <c r="A78">
        <f t="shared" ca="1" si="1"/>
        <v>0.52277659911603236</v>
      </c>
      <c r="B78">
        <v>77</v>
      </c>
      <c r="C78" t="s">
        <v>8</v>
      </c>
      <c r="D78">
        <v>4</v>
      </c>
      <c r="E78" t="s">
        <v>137</v>
      </c>
      <c r="F78" t="s">
        <v>16</v>
      </c>
      <c r="G78">
        <v>1</v>
      </c>
      <c r="H78">
        <v>2</v>
      </c>
      <c r="I78">
        <v>1</v>
      </c>
      <c r="J78">
        <v>33</v>
      </c>
      <c r="K78">
        <v>9</v>
      </c>
      <c r="L78" t="s">
        <v>30</v>
      </c>
      <c r="M78">
        <v>159</v>
      </c>
    </row>
    <row r="79" spans="1:13">
      <c r="A79">
        <f t="shared" ca="1" si="1"/>
        <v>0.54695485227000207</v>
      </c>
      <c r="B79">
        <v>78</v>
      </c>
      <c r="C79" t="s">
        <v>7</v>
      </c>
      <c r="D79">
        <v>2</v>
      </c>
      <c r="E79" t="s">
        <v>140</v>
      </c>
      <c r="F79" t="s">
        <v>16</v>
      </c>
      <c r="G79">
        <v>0.7</v>
      </c>
      <c r="H79">
        <v>3</v>
      </c>
      <c r="I79">
        <v>3</v>
      </c>
      <c r="J79">
        <v>32</v>
      </c>
      <c r="K79">
        <v>8</v>
      </c>
      <c r="L79" t="s">
        <v>19</v>
      </c>
      <c r="M79">
        <v>305</v>
      </c>
    </row>
    <row r="80" spans="1:13">
      <c r="A80">
        <f t="shared" ca="1" si="1"/>
        <v>0.32482463215188517</v>
      </c>
      <c r="B80">
        <v>79</v>
      </c>
      <c r="C80" t="s">
        <v>8</v>
      </c>
      <c r="D80">
        <v>1</v>
      </c>
      <c r="E80" t="s">
        <v>134</v>
      </c>
      <c r="F80" t="s">
        <v>16</v>
      </c>
      <c r="G80">
        <v>1</v>
      </c>
      <c r="H80">
        <v>2</v>
      </c>
      <c r="I80">
        <v>4</v>
      </c>
      <c r="J80">
        <v>55</v>
      </c>
      <c r="K80">
        <v>0</v>
      </c>
      <c r="L80" t="s">
        <v>30</v>
      </c>
      <c r="M80">
        <v>457</v>
      </c>
    </row>
    <row r="81" spans="1:13">
      <c r="A81">
        <f t="shared" ca="1" si="1"/>
        <v>0.63259098497829747</v>
      </c>
      <c r="B81">
        <v>80</v>
      </c>
      <c r="C81" t="s">
        <v>7</v>
      </c>
      <c r="D81">
        <v>2</v>
      </c>
      <c r="E81" t="s">
        <v>140</v>
      </c>
      <c r="F81" t="s">
        <v>14</v>
      </c>
      <c r="G81">
        <v>0.5</v>
      </c>
      <c r="H81">
        <v>3</v>
      </c>
      <c r="I81">
        <v>2</v>
      </c>
      <c r="J81">
        <v>40</v>
      </c>
      <c r="K81">
        <v>6</v>
      </c>
      <c r="L81" t="s">
        <v>31</v>
      </c>
      <c r="M81">
        <v>214</v>
      </c>
    </row>
    <row r="82" spans="1:13">
      <c r="A82">
        <f t="shared" ca="1" si="1"/>
        <v>0.87275258418053225</v>
      </c>
      <c r="B82">
        <v>81</v>
      </c>
      <c r="C82" t="s">
        <v>8</v>
      </c>
      <c r="D82">
        <v>5</v>
      </c>
      <c r="E82" t="s">
        <v>136</v>
      </c>
      <c r="F82" t="s">
        <v>14</v>
      </c>
      <c r="G82">
        <v>1</v>
      </c>
      <c r="H82">
        <v>2</v>
      </c>
      <c r="I82">
        <v>2</v>
      </c>
      <c r="J82">
        <v>42</v>
      </c>
      <c r="K82">
        <v>7</v>
      </c>
      <c r="L82" t="s">
        <v>19</v>
      </c>
      <c r="M82">
        <v>207</v>
      </c>
    </row>
    <row r="83" spans="1:13">
      <c r="A83">
        <f t="shared" ca="1" si="1"/>
        <v>0.30202947748389841</v>
      </c>
      <c r="B83">
        <v>82</v>
      </c>
      <c r="C83" t="s">
        <v>8</v>
      </c>
      <c r="D83">
        <v>1</v>
      </c>
      <c r="E83" t="s">
        <v>134</v>
      </c>
      <c r="F83" t="s">
        <v>15</v>
      </c>
      <c r="G83">
        <v>1</v>
      </c>
      <c r="H83">
        <v>3</v>
      </c>
      <c r="I83">
        <v>2</v>
      </c>
      <c r="J83">
        <v>38</v>
      </c>
      <c r="K83">
        <v>5</v>
      </c>
      <c r="L83" t="s">
        <v>19</v>
      </c>
      <c r="M83">
        <v>173</v>
      </c>
    </row>
    <row r="84" spans="1:13">
      <c r="A84">
        <f t="shared" ca="1" si="1"/>
        <v>1.8963620734587905E-2</v>
      </c>
      <c r="B84">
        <v>83</v>
      </c>
      <c r="C84" t="s">
        <v>8</v>
      </c>
      <c r="D84">
        <v>1</v>
      </c>
      <c r="E84" t="s">
        <v>134</v>
      </c>
      <c r="F84" t="s">
        <v>14</v>
      </c>
      <c r="G84">
        <v>1</v>
      </c>
      <c r="H84">
        <v>2</v>
      </c>
      <c r="I84">
        <v>3</v>
      </c>
      <c r="J84">
        <v>41</v>
      </c>
      <c r="K84">
        <v>7</v>
      </c>
      <c r="L84" t="s">
        <v>19</v>
      </c>
      <c r="M84">
        <v>396</v>
      </c>
    </row>
    <row r="85" spans="1:13">
      <c r="A85">
        <f t="shared" ca="1" si="1"/>
        <v>0.1366571658211102</v>
      </c>
      <c r="B85">
        <v>84</v>
      </c>
      <c r="C85" t="s">
        <v>7</v>
      </c>
      <c r="D85">
        <v>1</v>
      </c>
      <c r="E85" t="s">
        <v>134</v>
      </c>
      <c r="F85" t="s">
        <v>14</v>
      </c>
      <c r="G85">
        <v>1</v>
      </c>
      <c r="H85">
        <v>3</v>
      </c>
      <c r="I85">
        <v>5</v>
      </c>
      <c r="J85">
        <v>53</v>
      </c>
      <c r="K85">
        <v>6</v>
      </c>
      <c r="L85" t="s">
        <v>31</v>
      </c>
      <c r="M85">
        <v>464</v>
      </c>
    </row>
    <row r="86" spans="1:13">
      <c r="A86">
        <f t="shared" ca="1" si="1"/>
        <v>0.18156829343888881</v>
      </c>
      <c r="B86">
        <v>85</v>
      </c>
      <c r="C86" t="s">
        <v>8</v>
      </c>
      <c r="D86">
        <v>5</v>
      </c>
      <c r="E86" t="s">
        <v>136</v>
      </c>
      <c r="F86" t="s">
        <v>15</v>
      </c>
      <c r="G86">
        <v>1</v>
      </c>
      <c r="H86">
        <v>2</v>
      </c>
      <c r="I86">
        <v>3</v>
      </c>
      <c r="J86">
        <v>41</v>
      </c>
      <c r="K86">
        <v>3</v>
      </c>
      <c r="L86" t="s">
        <v>31</v>
      </c>
      <c r="M86">
        <v>267</v>
      </c>
    </row>
    <row r="87" spans="1:13">
      <c r="A87">
        <f t="shared" ca="1" si="1"/>
        <v>0.41331690771765939</v>
      </c>
      <c r="B87">
        <v>86</v>
      </c>
      <c r="C87" t="s">
        <v>8</v>
      </c>
      <c r="D87">
        <v>1</v>
      </c>
      <c r="E87" t="s">
        <v>134</v>
      </c>
      <c r="F87" t="s">
        <v>16</v>
      </c>
      <c r="G87">
        <v>1</v>
      </c>
      <c r="H87">
        <v>2</v>
      </c>
      <c r="I87">
        <v>3</v>
      </c>
      <c r="J87">
        <v>35</v>
      </c>
      <c r="K87">
        <v>9</v>
      </c>
      <c r="L87" t="s">
        <v>19</v>
      </c>
      <c r="M87">
        <v>260</v>
      </c>
    </row>
    <row r="88" spans="1:13">
      <c r="A88">
        <f t="shared" ca="1" si="1"/>
        <v>0.88533756641200689</v>
      </c>
      <c r="B88">
        <v>87</v>
      </c>
      <c r="C88" t="s">
        <v>8</v>
      </c>
      <c r="D88">
        <v>6</v>
      </c>
      <c r="E88" t="s">
        <v>139</v>
      </c>
      <c r="F88" t="s">
        <v>15</v>
      </c>
      <c r="G88">
        <v>1</v>
      </c>
      <c r="H88">
        <v>2</v>
      </c>
      <c r="I88">
        <v>3</v>
      </c>
      <c r="J88">
        <v>38</v>
      </c>
      <c r="K88">
        <v>9</v>
      </c>
      <c r="L88" t="s">
        <v>19</v>
      </c>
      <c r="M88">
        <v>336</v>
      </c>
    </row>
    <row r="89" spans="1:13">
      <c r="A89">
        <f t="shared" ca="1" si="1"/>
        <v>0.54061059621870322</v>
      </c>
      <c r="B89">
        <v>88</v>
      </c>
      <c r="C89" t="s">
        <v>8</v>
      </c>
      <c r="D89">
        <v>2</v>
      </c>
      <c r="E89" t="s">
        <v>140</v>
      </c>
      <c r="F89" t="s">
        <v>13</v>
      </c>
      <c r="G89">
        <v>1</v>
      </c>
      <c r="H89">
        <v>3</v>
      </c>
      <c r="I89">
        <v>2</v>
      </c>
      <c r="J89">
        <v>35</v>
      </c>
      <c r="K89">
        <v>3</v>
      </c>
      <c r="L89" t="s">
        <v>19</v>
      </c>
      <c r="M89">
        <v>242</v>
      </c>
    </row>
    <row r="90" spans="1:13">
      <c r="A90">
        <f t="shared" ca="1" si="1"/>
        <v>7.6375150237736555E-2</v>
      </c>
      <c r="B90">
        <v>89</v>
      </c>
      <c r="C90" t="s">
        <v>8</v>
      </c>
      <c r="D90">
        <v>4</v>
      </c>
      <c r="E90" t="s">
        <v>137</v>
      </c>
      <c r="F90" t="s">
        <v>15</v>
      </c>
      <c r="G90">
        <v>1</v>
      </c>
      <c r="H90">
        <v>2</v>
      </c>
      <c r="I90">
        <v>1</v>
      </c>
      <c r="J90">
        <v>37</v>
      </c>
      <c r="K90">
        <v>0</v>
      </c>
      <c r="L90" t="s">
        <v>30</v>
      </c>
      <c r="M90">
        <v>90</v>
      </c>
    </row>
    <row r="91" spans="1:13">
      <c r="A91">
        <f t="shared" ca="1" si="1"/>
        <v>0.83633023986751631</v>
      </c>
      <c r="B91">
        <v>90</v>
      </c>
      <c r="C91" t="s">
        <v>8</v>
      </c>
      <c r="D91">
        <v>2</v>
      </c>
      <c r="E91" t="s">
        <v>140</v>
      </c>
      <c r="F91" t="s">
        <v>16</v>
      </c>
      <c r="G91">
        <v>1</v>
      </c>
      <c r="H91">
        <v>2</v>
      </c>
      <c r="I91">
        <v>3</v>
      </c>
      <c r="J91">
        <v>38</v>
      </c>
      <c r="K91">
        <v>9</v>
      </c>
      <c r="L91" t="s">
        <v>19</v>
      </c>
      <c r="M91">
        <v>325</v>
      </c>
    </row>
    <row r="92" spans="1:13">
      <c r="A92">
        <f t="shared" ca="1" si="1"/>
        <v>3.2545680672380173E-2</v>
      </c>
      <c r="B92">
        <v>91</v>
      </c>
      <c r="C92" t="s">
        <v>8</v>
      </c>
      <c r="D92">
        <v>3</v>
      </c>
      <c r="E92" t="s">
        <v>135</v>
      </c>
      <c r="F92" t="s">
        <v>14</v>
      </c>
      <c r="G92">
        <v>1</v>
      </c>
      <c r="H92">
        <v>3</v>
      </c>
      <c r="I92">
        <v>4</v>
      </c>
      <c r="J92">
        <v>32</v>
      </c>
      <c r="K92">
        <v>5</v>
      </c>
      <c r="L92" t="s">
        <v>30</v>
      </c>
      <c r="M92">
        <v>447</v>
      </c>
    </row>
    <row r="93" spans="1:13">
      <c r="A93">
        <f t="shared" ca="1" si="1"/>
        <v>0.12786393126099038</v>
      </c>
      <c r="B93">
        <v>92</v>
      </c>
      <c r="C93" t="s">
        <v>8</v>
      </c>
      <c r="D93">
        <v>1</v>
      </c>
      <c r="E93" t="s">
        <v>134</v>
      </c>
      <c r="F93" t="s">
        <v>14</v>
      </c>
      <c r="G93">
        <v>1</v>
      </c>
      <c r="H93">
        <v>2</v>
      </c>
      <c r="I93">
        <v>1</v>
      </c>
      <c r="J93">
        <v>51</v>
      </c>
      <c r="K93">
        <v>4</v>
      </c>
      <c r="L93" t="s">
        <v>19</v>
      </c>
      <c r="M93">
        <v>138</v>
      </c>
    </row>
    <row r="94" spans="1:13">
      <c r="A94">
        <f t="shared" ca="1" si="1"/>
        <v>0.24697784157589353</v>
      </c>
      <c r="B94">
        <v>93</v>
      </c>
      <c r="C94" t="s">
        <v>8</v>
      </c>
      <c r="D94">
        <v>5</v>
      </c>
      <c r="E94" t="s">
        <v>136</v>
      </c>
      <c r="F94" t="s">
        <v>16</v>
      </c>
      <c r="G94">
        <v>1</v>
      </c>
      <c r="H94">
        <v>3</v>
      </c>
      <c r="I94">
        <v>0</v>
      </c>
      <c r="J94">
        <v>36</v>
      </c>
      <c r="K94">
        <v>6</v>
      </c>
      <c r="L94" t="s">
        <v>19</v>
      </c>
      <c r="M94">
        <v>40</v>
      </c>
    </row>
    <row r="95" spans="1:13">
      <c r="A95">
        <f t="shared" ca="1" si="1"/>
        <v>0.12511723919659989</v>
      </c>
      <c r="B95">
        <v>94</v>
      </c>
      <c r="C95" t="s">
        <v>8</v>
      </c>
      <c r="D95">
        <v>3</v>
      </c>
      <c r="E95" t="s">
        <v>135</v>
      </c>
      <c r="F95" t="s">
        <v>14</v>
      </c>
      <c r="G95">
        <v>1</v>
      </c>
      <c r="H95">
        <v>2</v>
      </c>
      <c r="I95">
        <v>3</v>
      </c>
      <c r="J95">
        <v>45</v>
      </c>
      <c r="K95">
        <v>3</v>
      </c>
      <c r="L95" t="s">
        <v>19</v>
      </c>
      <c r="M95">
        <v>375</v>
      </c>
    </row>
    <row r="96" spans="1:13">
      <c r="A96">
        <f t="shared" ca="1" si="1"/>
        <v>0.24594495365220759</v>
      </c>
      <c r="B96">
        <v>95</v>
      </c>
      <c r="C96" t="s">
        <v>8</v>
      </c>
      <c r="D96">
        <v>4</v>
      </c>
      <c r="E96" t="s">
        <v>137</v>
      </c>
      <c r="F96" t="s">
        <v>14</v>
      </c>
      <c r="G96">
        <v>1</v>
      </c>
      <c r="H96">
        <v>3</v>
      </c>
      <c r="I96">
        <v>1</v>
      </c>
      <c r="J96">
        <v>29</v>
      </c>
      <c r="K96">
        <v>8</v>
      </c>
      <c r="L96" t="s">
        <v>30</v>
      </c>
      <c r="M96">
        <v>84</v>
      </c>
    </row>
    <row r="97" spans="1:13">
      <c r="A97">
        <f t="shared" ca="1" si="1"/>
        <v>0.46919980113955928</v>
      </c>
      <c r="B97">
        <v>96</v>
      </c>
      <c r="C97" t="s">
        <v>8</v>
      </c>
      <c r="D97">
        <v>1</v>
      </c>
      <c r="E97" t="s">
        <v>134</v>
      </c>
      <c r="F97" t="s">
        <v>14</v>
      </c>
      <c r="G97">
        <v>1</v>
      </c>
      <c r="H97">
        <v>2</v>
      </c>
      <c r="I97">
        <v>1</v>
      </c>
      <c r="J97">
        <v>56</v>
      </c>
      <c r="K97">
        <v>9</v>
      </c>
      <c r="L97" t="s">
        <v>31</v>
      </c>
      <c r="M97">
        <v>62</v>
      </c>
    </row>
    <row r="98" spans="1:13">
      <c r="A98">
        <f t="shared" ca="1" si="1"/>
        <v>0.18349903546209467</v>
      </c>
      <c r="B98">
        <v>97</v>
      </c>
      <c r="C98" t="s">
        <v>7</v>
      </c>
      <c r="D98">
        <v>3</v>
      </c>
      <c r="E98" t="s">
        <v>135</v>
      </c>
      <c r="F98" t="s">
        <v>13</v>
      </c>
      <c r="G98">
        <v>1</v>
      </c>
      <c r="H98">
        <v>2</v>
      </c>
      <c r="I98">
        <v>0</v>
      </c>
      <c r="J98">
        <v>41</v>
      </c>
      <c r="K98">
        <v>3</v>
      </c>
      <c r="L98" t="s">
        <v>19</v>
      </c>
      <c r="M98">
        <v>23</v>
      </c>
    </row>
    <row r="99" spans="1:13">
      <c r="A99">
        <f t="shared" ca="1" si="1"/>
        <v>0.80801537762283293</v>
      </c>
      <c r="B99">
        <v>98</v>
      </c>
      <c r="C99" t="s">
        <v>8</v>
      </c>
      <c r="D99">
        <v>5</v>
      </c>
      <c r="E99" t="s">
        <v>136</v>
      </c>
      <c r="F99" t="s">
        <v>14</v>
      </c>
      <c r="G99">
        <v>1</v>
      </c>
      <c r="H99">
        <v>2</v>
      </c>
      <c r="I99">
        <v>5</v>
      </c>
      <c r="J99">
        <v>39</v>
      </c>
      <c r="K99">
        <v>9</v>
      </c>
      <c r="L99" t="s">
        <v>19</v>
      </c>
      <c r="M99">
        <v>478</v>
      </c>
    </row>
    <row r="100" spans="1:13">
      <c r="A100">
        <f t="shared" ca="1" si="1"/>
        <v>0.81415125423279988</v>
      </c>
      <c r="B100">
        <v>99</v>
      </c>
      <c r="C100" t="s">
        <v>7</v>
      </c>
      <c r="D100">
        <v>1</v>
      </c>
      <c r="E100" t="s">
        <v>134</v>
      </c>
      <c r="F100" t="s">
        <v>16</v>
      </c>
      <c r="G100">
        <v>1</v>
      </c>
      <c r="H100">
        <v>2</v>
      </c>
      <c r="I100">
        <v>0</v>
      </c>
      <c r="J100">
        <v>57</v>
      </c>
      <c r="K100">
        <v>2</v>
      </c>
      <c r="L100" t="s">
        <v>31</v>
      </c>
      <c r="M100">
        <v>25</v>
      </c>
    </row>
    <row r="101" spans="1:13">
      <c r="A101">
        <f t="shared" ca="1" si="1"/>
        <v>0.35120637005781552</v>
      </c>
      <c r="B101">
        <v>100</v>
      </c>
      <c r="C101" t="s">
        <v>8</v>
      </c>
      <c r="D101">
        <v>4</v>
      </c>
      <c r="E101" t="s">
        <v>137</v>
      </c>
      <c r="F101" t="s">
        <v>15</v>
      </c>
      <c r="G101">
        <v>1</v>
      </c>
      <c r="H101">
        <v>3</v>
      </c>
      <c r="I101">
        <v>4</v>
      </c>
      <c r="J101">
        <v>30</v>
      </c>
      <c r="K101">
        <v>6</v>
      </c>
      <c r="L101" t="s">
        <v>30</v>
      </c>
      <c r="M101">
        <v>423</v>
      </c>
    </row>
    <row r="102" spans="1:13">
      <c r="A102">
        <f t="shared" ca="1" si="1"/>
        <v>0.65090324597568117</v>
      </c>
      <c r="B102">
        <v>101</v>
      </c>
      <c r="C102" t="s">
        <v>7</v>
      </c>
      <c r="D102">
        <v>1</v>
      </c>
      <c r="E102" t="s">
        <v>134</v>
      </c>
      <c r="F102" t="s">
        <v>16</v>
      </c>
      <c r="G102">
        <v>1</v>
      </c>
      <c r="H102">
        <v>2</v>
      </c>
      <c r="I102">
        <v>0</v>
      </c>
      <c r="J102">
        <v>35</v>
      </c>
      <c r="K102">
        <v>4</v>
      </c>
      <c r="L102" t="s">
        <v>30</v>
      </c>
      <c r="M102">
        <v>29</v>
      </c>
    </row>
    <row r="103" spans="1:13">
      <c r="A103">
        <f t="shared" ca="1" si="1"/>
        <v>6.4267400987597534E-2</v>
      </c>
      <c r="B103">
        <v>102</v>
      </c>
      <c r="C103" t="s">
        <v>7</v>
      </c>
      <c r="D103">
        <v>3</v>
      </c>
      <c r="E103" t="s">
        <v>135</v>
      </c>
      <c r="F103" t="s">
        <v>14</v>
      </c>
      <c r="G103">
        <v>1</v>
      </c>
      <c r="H103">
        <v>3</v>
      </c>
      <c r="I103">
        <v>1</v>
      </c>
      <c r="J103">
        <v>61</v>
      </c>
      <c r="K103">
        <v>1</v>
      </c>
      <c r="L103" t="s">
        <v>27</v>
      </c>
      <c r="M103">
        <v>82</v>
      </c>
    </row>
    <row r="104" spans="1:13">
      <c r="A104">
        <f t="shared" ca="1" si="1"/>
        <v>0.27558911997705704</v>
      </c>
      <c r="B104">
        <v>103</v>
      </c>
      <c r="C104" t="s">
        <v>8</v>
      </c>
      <c r="D104">
        <v>1</v>
      </c>
      <c r="E104" t="s">
        <v>134</v>
      </c>
      <c r="F104" t="s">
        <v>16</v>
      </c>
      <c r="G104">
        <v>1</v>
      </c>
      <c r="H104">
        <v>3</v>
      </c>
      <c r="I104">
        <v>3</v>
      </c>
      <c r="J104">
        <v>40</v>
      </c>
      <c r="K104">
        <v>5</v>
      </c>
      <c r="L104" t="s">
        <v>31</v>
      </c>
      <c r="M104">
        <v>405</v>
      </c>
    </row>
    <row r="105" spans="1:13">
      <c r="A105">
        <f t="shared" ca="1" si="1"/>
        <v>0.4909240911669932</v>
      </c>
      <c r="B105">
        <v>104</v>
      </c>
      <c r="C105" t="s">
        <v>8</v>
      </c>
      <c r="D105">
        <v>2</v>
      </c>
      <c r="E105" t="s">
        <v>140</v>
      </c>
      <c r="F105" t="s">
        <v>16</v>
      </c>
      <c r="G105">
        <v>1</v>
      </c>
      <c r="H105">
        <v>2</v>
      </c>
      <c r="I105">
        <v>3</v>
      </c>
      <c r="J105">
        <v>33</v>
      </c>
      <c r="K105">
        <v>5</v>
      </c>
      <c r="L105" t="s">
        <v>19</v>
      </c>
      <c r="M105">
        <v>279</v>
      </c>
    </row>
    <row r="106" spans="1:13">
      <c r="A106">
        <f t="shared" ca="1" si="1"/>
        <v>0.25678024329287585</v>
      </c>
      <c r="B106">
        <v>105</v>
      </c>
      <c r="C106" t="s">
        <v>8</v>
      </c>
      <c r="D106">
        <v>3</v>
      </c>
      <c r="E106" t="s">
        <v>135</v>
      </c>
      <c r="F106" t="s">
        <v>16</v>
      </c>
      <c r="G106">
        <v>1</v>
      </c>
      <c r="H106">
        <v>2</v>
      </c>
      <c r="I106">
        <v>0</v>
      </c>
      <c r="J106">
        <v>49</v>
      </c>
      <c r="K106">
        <v>0</v>
      </c>
      <c r="L106" t="s">
        <v>31</v>
      </c>
      <c r="M106">
        <v>17</v>
      </c>
    </row>
    <row r="107" spans="1:13">
      <c r="A107">
        <f t="shared" ca="1" si="1"/>
        <v>0.98206629323969441</v>
      </c>
      <c r="B107">
        <v>106</v>
      </c>
      <c r="C107" t="s">
        <v>8</v>
      </c>
      <c r="D107">
        <v>5</v>
      </c>
      <c r="E107" t="s">
        <v>136</v>
      </c>
      <c r="F107" t="s">
        <v>16</v>
      </c>
      <c r="G107">
        <v>1</v>
      </c>
      <c r="H107">
        <v>2</v>
      </c>
      <c r="I107">
        <v>3</v>
      </c>
      <c r="J107">
        <v>38</v>
      </c>
      <c r="K107">
        <v>3</v>
      </c>
      <c r="L107" t="s">
        <v>30</v>
      </c>
      <c r="M107">
        <v>318</v>
      </c>
    </row>
    <row r="108" spans="1:13">
      <c r="A108">
        <f t="shared" ca="1" si="1"/>
        <v>0.6247258777703224</v>
      </c>
      <c r="B108">
        <v>107</v>
      </c>
      <c r="C108" t="s">
        <v>7</v>
      </c>
      <c r="D108">
        <v>1</v>
      </c>
      <c r="E108" t="s">
        <v>134</v>
      </c>
      <c r="F108" t="s">
        <v>14</v>
      </c>
      <c r="G108">
        <v>1</v>
      </c>
      <c r="H108">
        <v>3</v>
      </c>
      <c r="I108">
        <v>3</v>
      </c>
      <c r="J108">
        <v>50</v>
      </c>
      <c r="K108">
        <v>9</v>
      </c>
      <c r="L108" t="s">
        <v>19</v>
      </c>
      <c r="M108">
        <v>399</v>
      </c>
    </row>
    <row r="109" spans="1:13">
      <c r="A109">
        <f t="shared" ca="1" si="1"/>
        <v>0.30432684110894204</v>
      </c>
      <c r="B109">
        <v>108</v>
      </c>
      <c r="C109" t="s">
        <v>8</v>
      </c>
      <c r="D109">
        <v>4</v>
      </c>
      <c r="E109" t="s">
        <v>137</v>
      </c>
      <c r="F109" t="s">
        <v>14</v>
      </c>
      <c r="G109">
        <v>1</v>
      </c>
      <c r="H109">
        <v>1</v>
      </c>
      <c r="I109">
        <v>2</v>
      </c>
      <c r="J109">
        <v>39</v>
      </c>
      <c r="K109">
        <v>6</v>
      </c>
      <c r="L109" t="s">
        <v>31</v>
      </c>
      <c r="M109">
        <v>209</v>
      </c>
    </row>
    <row r="110" spans="1:13">
      <c r="A110">
        <f t="shared" ca="1" si="1"/>
        <v>0.17014066721447763</v>
      </c>
      <c r="B110">
        <v>109</v>
      </c>
      <c r="C110" t="s">
        <v>8</v>
      </c>
      <c r="D110">
        <v>1</v>
      </c>
      <c r="E110" t="s">
        <v>134</v>
      </c>
      <c r="F110" t="s">
        <v>16</v>
      </c>
      <c r="G110">
        <v>1</v>
      </c>
      <c r="H110">
        <v>3</v>
      </c>
      <c r="I110">
        <v>3</v>
      </c>
      <c r="J110">
        <v>50</v>
      </c>
      <c r="K110">
        <v>0</v>
      </c>
      <c r="L110" t="s">
        <v>19</v>
      </c>
      <c r="M110">
        <v>338</v>
      </c>
    </row>
    <row r="111" spans="1:13">
      <c r="A111">
        <f t="shared" ca="1" si="1"/>
        <v>0.47012091086996388</v>
      </c>
      <c r="B111">
        <v>110</v>
      </c>
      <c r="C111" t="s">
        <v>8</v>
      </c>
      <c r="D111">
        <v>2</v>
      </c>
      <c r="E111" t="s">
        <v>140</v>
      </c>
      <c r="F111" t="s">
        <v>15</v>
      </c>
      <c r="G111">
        <v>1</v>
      </c>
      <c r="H111">
        <v>3</v>
      </c>
      <c r="I111">
        <v>3</v>
      </c>
      <c r="J111">
        <v>34</v>
      </c>
      <c r="K111">
        <v>4</v>
      </c>
      <c r="L111" t="s">
        <v>19</v>
      </c>
      <c r="M111">
        <v>329</v>
      </c>
    </row>
    <row r="112" spans="1:13">
      <c r="A112">
        <f t="shared" ca="1" si="1"/>
        <v>0.99914226068860967</v>
      </c>
      <c r="B112">
        <v>111</v>
      </c>
      <c r="C112" t="s">
        <v>8</v>
      </c>
      <c r="D112">
        <v>2</v>
      </c>
      <c r="E112" t="s">
        <v>140</v>
      </c>
      <c r="F112" t="s">
        <v>12</v>
      </c>
      <c r="G112">
        <v>1</v>
      </c>
      <c r="H112">
        <v>4</v>
      </c>
      <c r="I112">
        <v>1</v>
      </c>
      <c r="J112">
        <v>33</v>
      </c>
      <c r="K112">
        <v>0</v>
      </c>
      <c r="L112" t="s">
        <v>30</v>
      </c>
      <c r="M112">
        <v>118</v>
      </c>
    </row>
    <row r="113" spans="1:13">
      <c r="A113">
        <f t="shared" ca="1" si="1"/>
        <v>0.23554329253083395</v>
      </c>
      <c r="B113">
        <v>112</v>
      </c>
      <c r="C113" t="s">
        <v>7</v>
      </c>
      <c r="D113">
        <v>1</v>
      </c>
      <c r="E113" t="s">
        <v>134</v>
      </c>
      <c r="F113" t="s">
        <v>14</v>
      </c>
      <c r="G113">
        <v>1</v>
      </c>
      <c r="H113">
        <v>2</v>
      </c>
      <c r="I113">
        <v>2</v>
      </c>
      <c r="J113">
        <v>30</v>
      </c>
      <c r="K113">
        <v>4</v>
      </c>
      <c r="L113" t="s">
        <v>19</v>
      </c>
      <c r="M113">
        <v>168</v>
      </c>
    </row>
    <row r="114" spans="1:13">
      <c r="A114">
        <f t="shared" ca="1" si="1"/>
        <v>0.61135372615655836</v>
      </c>
      <c r="B114">
        <v>113</v>
      </c>
      <c r="C114" t="s">
        <v>8</v>
      </c>
      <c r="D114">
        <v>5</v>
      </c>
      <c r="E114" t="s">
        <v>136</v>
      </c>
      <c r="F114" t="s">
        <v>17</v>
      </c>
      <c r="G114">
        <v>1</v>
      </c>
      <c r="H114">
        <v>3</v>
      </c>
      <c r="I114">
        <v>3</v>
      </c>
      <c r="J114">
        <v>30</v>
      </c>
      <c r="K114">
        <v>8</v>
      </c>
      <c r="L114" t="s">
        <v>39</v>
      </c>
      <c r="M114">
        <v>362</v>
      </c>
    </row>
    <row r="115" spans="1:13">
      <c r="A115">
        <f t="shared" ca="1" si="1"/>
        <v>1.1210743817198443E-2</v>
      </c>
      <c r="B115">
        <v>114</v>
      </c>
      <c r="C115" t="s">
        <v>8</v>
      </c>
      <c r="D115">
        <v>3</v>
      </c>
      <c r="E115" t="s">
        <v>135</v>
      </c>
      <c r="F115" t="s">
        <v>16</v>
      </c>
      <c r="G115">
        <v>1</v>
      </c>
      <c r="H115">
        <v>3</v>
      </c>
      <c r="I115">
        <v>3</v>
      </c>
      <c r="J115">
        <v>48</v>
      </c>
      <c r="K115">
        <v>7</v>
      </c>
      <c r="L115" t="s">
        <v>19</v>
      </c>
      <c r="M115">
        <v>391</v>
      </c>
    </row>
    <row r="116" spans="1:13">
      <c r="A116">
        <f t="shared" ca="1" si="1"/>
        <v>0.44987148947120992</v>
      </c>
      <c r="B116">
        <v>115</v>
      </c>
      <c r="C116" t="s">
        <v>8</v>
      </c>
      <c r="D116">
        <v>5</v>
      </c>
      <c r="E116" t="s">
        <v>136</v>
      </c>
      <c r="F116" t="s">
        <v>12</v>
      </c>
      <c r="G116">
        <v>1</v>
      </c>
      <c r="H116">
        <v>3</v>
      </c>
      <c r="I116">
        <v>3</v>
      </c>
      <c r="J116">
        <v>38</v>
      </c>
      <c r="K116">
        <v>6</v>
      </c>
      <c r="L116" t="s">
        <v>19</v>
      </c>
      <c r="M116">
        <v>310</v>
      </c>
    </row>
    <row r="117" spans="1:13">
      <c r="A117">
        <f t="shared" ca="1" si="1"/>
        <v>0.78788207189760218</v>
      </c>
      <c r="B117">
        <v>116</v>
      </c>
      <c r="C117" t="s">
        <v>8</v>
      </c>
      <c r="D117">
        <v>2</v>
      </c>
      <c r="E117" t="s">
        <v>140</v>
      </c>
      <c r="F117" t="s">
        <v>16</v>
      </c>
      <c r="G117">
        <v>1</v>
      </c>
      <c r="H117">
        <v>2</v>
      </c>
      <c r="I117">
        <v>1</v>
      </c>
      <c r="J117">
        <v>37</v>
      </c>
      <c r="K117">
        <v>1</v>
      </c>
      <c r="L117" t="s">
        <v>31</v>
      </c>
      <c r="M117">
        <v>101</v>
      </c>
    </row>
    <row r="118" spans="1:13">
      <c r="A118">
        <f t="shared" ca="1" si="1"/>
        <v>0.34598894812410685</v>
      </c>
      <c r="B118">
        <v>117</v>
      </c>
      <c r="C118" t="s">
        <v>8</v>
      </c>
      <c r="D118">
        <v>3</v>
      </c>
      <c r="E118" t="s">
        <v>135</v>
      </c>
      <c r="F118" t="s">
        <v>15</v>
      </c>
      <c r="G118">
        <v>1</v>
      </c>
      <c r="H118">
        <v>2</v>
      </c>
      <c r="I118">
        <v>1</v>
      </c>
      <c r="J118">
        <v>52</v>
      </c>
      <c r="K118">
        <v>7</v>
      </c>
      <c r="L118" t="s">
        <v>31</v>
      </c>
      <c r="M118">
        <v>97</v>
      </c>
    </row>
    <row r="119" spans="1:13">
      <c r="A119">
        <f t="shared" ca="1" si="1"/>
        <v>0.45837862996012757</v>
      </c>
      <c r="B119">
        <v>118</v>
      </c>
      <c r="C119" t="s">
        <v>7</v>
      </c>
      <c r="D119">
        <v>4</v>
      </c>
      <c r="E119" t="s">
        <v>137</v>
      </c>
      <c r="F119" t="s">
        <v>16</v>
      </c>
      <c r="G119">
        <v>1</v>
      </c>
      <c r="H119">
        <v>2</v>
      </c>
      <c r="I119">
        <v>4</v>
      </c>
      <c r="J119">
        <v>31</v>
      </c>
      <c r="K119">
        <v>8</v>
      </c>
      <c r="L119" t="s">
        <v>19</v>
      </c>
      <c r="M119">
        <v>439</v>
      </c>
    </row>
    <row r="120" spans="1:13">
      <c r="A120">
        <f t="shared" ca="1" si="1"/>
        <v>0.78722119582076</v>
      </c>
      <c r="B120">
        <v>119</v>
      </c>
      <c r="C120" t="s">
        <v>7</v>
      </c>
      <c r="D120">
        <v>1</v>
      </c>
      <c r="E120" t="s">
        <v>134</v>
      </c>
      <c r="F120" t="s">
        <v>14</v>
      </c>
      <c r="G120">
        <v>0.8</v>
      </c>
      <c r="H120">
        <v>3</v>
      </c>
      <c r="I120">
        <v>3</v>
      </c>
      <c r="J120">
        <v>39</v>
      </c>
      <c r="K120">
        <v>8</v>
      </c>
      <c r="L120" t="s">
        <v>31</v>
      </c>
      <c r="M120">
        <v>294</v>
      </c>
    </row>
    <row r="121" spans="1:13">
      <c r="A121">
        <f t="shared" ca="1" si="1"/>
        <v>0.12494728421163703</v>
      </c>
      <c r="B121">
        <v>120</v>
      </c>
      <c r="C121" t="s">
        <v>8</v>
      </c>
      <c r="D121">
        <v>3</v>
      </c>
      <c r="E121" t="s">
        <v>135</v>
      </c>
      <c r="F121" t="s">
        <v>16</v>
      </c>
      <c r="G121">
        <v>1</v>
      </c>
      <c r="H121">
        <v>2</v>
      </c>
      <c r="I121">
        <v>2</v>
      </c>
      <c r="J121">
        <v>44</v>
      </c>
      <c r="K121">
        <v>6</v>
      </c>
      <c r="L121" t="s">
        <v>19</v>
      </c>
      <c r="M121">
        <v>176</v>
      </c>
    </row>
    <row r="122" spans="1:13">
      <c r="A122">
        <f t="shared" ca="1" si="1"/>
        <v>0.2108780296958942</v>
      </c>
      <c r="B122">
        <v>121</v>
      </c>
      <c r="C122" t="s">
        <v>8</v>
      </c>
      <c r="D122">
        <v>1</v>
      </c>
      <c r="E122" t="s">
        <v>134</v>
      </c>
      <c r="F122" t="s">
        <v>14</v>
      </c>
      <c r="G122">
        <v>1</v>
      </c>
      <c r="H122">
        <v>4</v>
      </c>
      <c r="I122">
        <v>3</v>
      </c>
      <c r="J122">
        <v>40</v>
      </c>
      <c r="K122">
        <v>9</v>
      </c>
      <c r="L122" t="s">
        <v>19</v>
      </c>
      <c r="M122">
        <v>250</v>
      </c>
    </row>
    <row r="123" spans="1:13">
      <c r="A123">
        <f t="shared" ca="1" si="1"/>
        <v>0.55000076659916919</v>
      </c>
      <c r="B123">
        <v>122</v>
      </c>
      <c r="C123" t="s">
        <v>8</v>
      </c>
      <c r="D123">
        <v>4</v>
      </c>
      <c r="E123" t="s">
        <v>137</v>
      </c>
      <c r="F123" t="s">
        <v>16</v>
      </c>
      <c r="G123">
        <v>1</v>
      </c>
      <c r="H123">
        <v>2</v>
      </c>
      <c r="I123">
        <v>1</v>
      </c>
      <c r="J123">
        <v>31</v>
      </c>
      <c r="K123">
        <v>5</v>
      </c>
      <c r="L123" t="s">
        <v>19</v>
      </c>
      <c r="M123">
        <v>142</v>
      </c>
    </row>
    <row r="124" spans="1:13">
      <c r="A124">
        <f t="shared" ca="1" si="1"/>
        <v>0.51875457780095124</v>
      </c>
      <c r="B124">
        <v>123</v>
      </c>
      <c r="C124" t="s">
        <v>7</v>
      </c>
      <c r="D124">
        <v>1</v>
      </c>
      <c r="E124" t="s">
        <v>134</v>
      </c>
      <c r="F124" t="s">
        <v>16</v>
      </c>
      <c r="G124">
        <v>1</v>
      </c>
      <c r="H124">
        <v>2</v>
      </c>
      <c r="I124">
        <v>2</v>
      </c>
      <c r="J124">
        <v>43</v>
      </c>
      <c r="K124">
        <v>9</v>
      </c>
      <c r="L124" t="s">
        <v>24</v>
      </c>
      <c r="M124">
        <v>169</v>
      </c>
    </row>
    <row r="125" spans="1:13">
      <c r="A125">
        <f t="shared" ca="1" si="1"/>
        <v>0.91258299492134931</v>
      </c>
      <c r="B125">
        <v>124</v>
      </c>
      <c r="C125" t="s">
        <v>8</v>
      </c>
      <c r="D125">
        <v>1</v>
      </c>
      <c r="E125" t="s">
        <v>134</v>
      </c>
      <c r="F125" t="s">
        <v>14</v>
      </c>
      <c r="G125">
        <v>1</v>
      </c>
      <c r="H125">
        <v>3</v>
      </c>
      <c r="I125">
        <v>3</v>
      </c>
      <c r="J125">
        <v>41</v>
      </c>
      <c r="K125">
        <v>5</v>
      </c>
      <c r="L125" t="s">
        <v>19</v>
      </c>
      <c r="M125">
        <v>401</v>
      </c>
    </row>
    <row r="126" spans="1:13">
      <c r="A126">
        <f t="shared" ca="1" si="1"/>
        <v>0.50259414352479914</v>
      </c>
      <c r="B126">
        <v>125</v>
      </c>
      <c r="C126" t="s">
        <v>8</v>
      </c>
      <c r="D126">
        <v>4</v>
      </c>
      <c r="E126" t="s">
        <v>137</v>
      </c>
      <c r="F126" t="s">
        <v>14</v>
      </c>
      <c r="G126">
        <v>1</v>
      </c>
      <c r="H126">
        <v>3</v>
      </c>
      <c r="I126">
        <v>7</v>
      </c>
      <c r="J126">
        <v>40</v>
      </c>
      <c r="K126">
        <v>0</v>
      </c>
      <c r="L126" t="s">
        <v>19</v>
      </c>
      <c r="M126">
        <v>493</v>
      </c>
    </row>
    <row r="127" spans="1:13">
      <c r="A127">
        <f t="shared" ca="1" si="1"/>
        <v>0.19907869324172722</v>
      </c>
      <c r="B127">
        <v>126</v>
      </c>
      <c r="C127" t="s">
        <v>7</v>
      </c>
      <c r="D127">
        <v>1</v>
      </c>
      <c r="E127" t="s">
        <v>134</v>
      </c>
      <c r="F127" t="s">
        <v>15</v>
      </c>
      <c r="G127">
        <v>0.8</v>
      </c>
      <c r="H127">
        <v>3</v>
      </c>
      <c r="I127">
        <v>2</v>
      </c>
      <c r="J127">
        <v>54</v>
      </c>
      <c r="K127">
        <v>0</v>
      </c>
      <c r="L127" t="s">
        <v>30</v>
      </c>
      <c r="M127">
        <v>213</v>
      </c>
    </row>
    <row r="128" spans="1:13">
      <c r="A128">
        <f t="shared" ca="1" si="1"/>
        <v>0.84803581215609147</v>
      </c>
      <c r="B128">
        <v>127</v>
      </c>
      <c r="C128" t="s">
        <v>8</v>
      </c>
      <c r="D128">
        <v>6</v>
      </c>
      <c r="E128" t="s">
        <v>139</v>
      </c>
      <c r="F128" t="s">
        <v>12</v>
      </c>
      <c r="G128">
        <v>1</v>
      </c>
      <c r="H128">
        <v>2</v>
      </c>
      <c r="I128">
        <v>1</v>
      </c>
      <c r="J128">
        <v>54</v>
      </c>
      <c r="K128">
        <v>3</v>
      </c>
      <c r="L128" t="s">
        <v>30</v>
      </c>
      <c r="M128">
        <v>79</v>
      </c>
    </row>
    <row r="129" spans="1:13">
      <c r="A129">
        <f t="shared" ca="1" si="1"/>
        <v>8.6847169512269673E-2</v>
      </c>
      <c r="B129">
        <v>128</v>
      </c>
      <c r="C129" t="s">
        <v>8</v>
      </c>
      <c r="D129">
        <v>6</v>
      </c>
      <c r="E129" t="s">
        <v>139</v>
      </c>
      <c r="F129" t="s">
        <v>17</v>
      </c>
      <c r="G129">
        <v>1</v>
      </c>
      <c r="H129">
        <v>3</v>
      </c>
      <c r="I129">
        <v>2</v>
      </c>
      <c r="J129">
        <v>38</v>
      </c>
      <c r="K129">
        <v>2</v>
      </c>
      <c r="L129" t="s">
        <v>19</v>
      </c>
      <c r="M129">
        <v>233</v>
      </c>
    </row>
    <row r="130" spans="1:13">
      <c r="A130">
        <f t="shared" ref="A130:A193" ca="1" si="2">RAND()</f>
        <v>0.90854393704463277</v>
      </c>
      <c r="B130">
        <v>129</v>
      </c>
      <c r="C130" t="s">
        <v>8</v>
      </c>
      <c r="D130">
        <v>1</v>
      </c>
      <c r="E130" t="s">
        <v>134</v>
      </c>
      <c r="F130" t="s">
        <v>14</v>
      </c>
      <c r="G130">
        <v>1</v>
      </c>
      <c r="H130">
        <v>2</v>
      </c>
      <c r="I130">
        <v>9</v>
      </c>
      <c r="J130">
        <v>36</v>
      </c>
      <c r="K130">
        <v>9</v>
      </c>
      <c r="L130" t="s">
        <v>19</v>
      </c>
      <c r="M130">
        <v>500</v>
      </c>
    </row>
    <row r="131" spans="1:13">
      <c r="A131">
        <f t="shared" ca="1" si="2"/>
        <v>4.7515436126589039E-2</v>
      </c>
      <c r="B131">
        <v>130</v>
      </c>
      <c r="C131" t="s">
        <v>7</v>
      </c>
      <c r="D131">
        <v>1</v>
      </c>
      <c r="E131" t="s">
        <v>134</v>
      </c>
      <c r="F131" t="s">
        <v>16</v>
      </c>
      <c r="G131">
        <v>1</v>
      </c>
      <c r="H131">
        <v>2</v>
      </c>
      <c r="I131">
        <v>3</v>
      </c>
      <c r="J131">
        <v>45</v>
      </c>
      <c r="K131">
        <v>9</v>
      </c>
      <c r="L131" t="s">
        <v>30</v>
      </c>
      <c r="M131">
        <v>307</v>
      </c>
    </row>
    <row r="132" spans="1:13">
      <c r="A132">
        <f t="shared" ca="1" si="2"/>
        <v>0.66012850763237463</v>
      </c>
      <c r="B132">
        <v>131</v>
      </c>
      <c r="C132" t="s">
        <v>8</v>
      </c>
      <c r="D132">
        <v>1</v>
      </c>
      <c r="E132" t="s">
        <v>134</v>
      </c>
      <c r="F132" t="s">
        <v>16</v>
      </c>
      <c r="G132">
        <v>1</v>
      </c>
      <c r="H132">
        <v>2</v>
      </c>
      <c r="I132">
        <v>1</v>
      </c>
      <c r="J132">
        <v>33</v>
      </c>
      <c r="K132">
        <v>2</v>
      </c>
      <c r="L132" t="s">
        <v>19</v>
      </c>
      <c r="M132">
        <v>53</v>
      </c>
    </row>
    <row r="133" spans="1:13">
      <c r="A133">
        <f t="shared" ca="1" si="2"/>
        <v>0.92758543194154852</v>
      </c>
      <c r="B133">
        <v>132</v>
      </c>
      <c r="C133" t="s">
        <v>8</v>
      </c>
      <c r="D133">
        <v>1</v>
      </c>
      <c r="E133" t="s">
        <v>134</v>
      </c>
      <c r="F133" t="s">
        <v>15</v>
      </c>
      <c r="G133">
        <v>1</v>
      </c>
      <c r="H133">
        <v>1</v>
      </c>
      <c r="I133">
        <v>3</v>
      </c>
      <c r="J133">
        <v>28</v>
      </c>
      <c r="K133">
        <v>4</v>
      </c>
      <c r="L133" t="s">
        <v>30</v>
      </c>
      <c r="M133">
        <v>418</v>
      </c>
    </row>
    <row r="134" spans="1:13">
      <c r="A134">
        <f t="shared" ca="1" si="2"/>
        <v>2.4844639354788978E-2</v>
      </c>
      <c r="B134">
        <v>133</v>
      </c>
      <c r="C134" t="s">
        <v>7</v>
      </c>
      <c r="D134">
        <v>3</v>
      </c>
      <c r="E134" t="s">
        <v>135</v>
      </c>
      <c r="F134" t="s">
        <v>14</v>
      </c>
      <c r="G134">
        <v>1</v>
      </c>
      <c r="H134">
        <v>2</v>
      </c>
      <c r="I134">
        <v>0</v>
      </c>
      <c r="J134">
        <v>49</v>
      </c>
      <c r="K134">
        <v>2</v>
      </c>
      <c r="L134" t="s">
        <v>31</v>
      </c>
      <c r="M134">
        <v>49</v>
      </c>
    </row>
    <row r="135" spans="1:13">
      <c r="A135">
        <f t="shared" ca="1" si="2"/>
        <v>0.5145344357505478</v>
      </c>
      <c r="B135">
        <v>134</v>
      </c>
      <c r="C135" t="s">
        <v>8</v>
      </c>
      <c r="D135">
        <v>3</v>
      </c>
      <c r="E135" t="s">
        <v>135</v>
      </c>
      <c r="F135" t="s">
        <v>16</v>
      </c>
      <c r="G135">
        <v>1</v>
      </c>
      <c r="H135">
        <v>3</v>
      </c>
      <c r="I135">
        <v>6</v>
      </c>
      <c r="J135">
        <v>34</v>
      </c>
      <c r="K135">
        <v>8</v>
      </c>
      <c r="L135" t="s">
        <v>31</v>
      </c>
      <c r="M135">
        <v>490</v>
      </c>
    </row>
    <row r="136" spans="1:13">
      <c r="A136">
        <f t="shared" ca="1" si="2"/>
        <v>0.76543644150924983</v>
      </c>
      <c r="B136">
        <v>135</v>
      </c>
      <c r="C136" t="s">
        <v>7</v>
      </c>
      <c r="D136">
        <v>1</v>
      </c>
      <c r="E136" t="s">
        <v>134</v>
      </c>
      <c r="F136" t="s">
        <v>14</v>
      </c>
      <c r="G136">
        <v>0.7</v>
      </c>
      <c r="H136">
        <v>3</v>
      </c>
      <c r="I136">
        <v>0</v>
      </c>
      <c r="J136">
        <v>45</v>
      </c>
      <c r="K136">
        <v>7</v>
      </c>
      <c r="L136" t="s">
        <v>19</v>
      </c>
      <c r="M136">
        <v>1</v>
      </c>
    </row>
    <row r="137" spans="1:13">
      <c r="A137">
        <f t="shared" ca="1" si="2"/>
        <v>0.78382042019213549</v>
      </c>
      <c r="B137">
        <v>136</v>
      </c>
      <c r="C137" t="s">
        <v>8</v>
      </c>
      <c r="D137">
        <v>1</v>
      </c>
      <c r="E137" t="s">
        <v>134</v>
      </c>
      <c r="F137" t="s">
        <v>14</v>
      </c>
      <c r="G137">
        <v>1</v>
      </c>
      <c r="H137">
        <v>2</v>
      </c>
      <c r="I137">
        <v>0</v>
      </c>
      <c r="J137">
        <v>43</v>
      </c>
      <c r="K137">
        <v>3</v>
      </c>
      <c r="L137" t="s">
        <v>19</v>
      </c>
      <c r="M137">
        <v>32</v>
      </c>
    </row>
    <row r="138" spans="1:13">
      <c r="A138">
        <f t="shared" ca="1" si="2"/>
        <v>0.32926974828135425</v>
      </c>
      <c r="B138">
        <v>137</v>
      </c>
      <c r="C138" t="s">
        <v>8</v>
      </c>
      <c r="D138">
        <v>5</v>
      </c>
      <c r="E138" t="s">
        <v>136</v>
      </c>
      <c r="F138" t="s">
        <v>16</v>
      </c>
      <c r="G138">
        <v>1</v>
      </c>
      <c r="H138">
        <v>3</v>
      </c>
      <c r="I138">
        <v>0</v>
      </c>
      <c r="J138">
        <v>31</v>
      </c>
      <c r="K138">
        <v>1</v>
      </c>
      <c r="L138" t="s">
        <v>26</v>
      </c>
      <c r="M138">
        <v>50</v>
      </c>
    </row>
    <row r="139" spans="1:13">
      <c r="A139">
        <f t="shared" ca="1" si="2"/>
        <v>0.14732664054280808</v>
      </c>
      <c r="B139">
        <v>138</v>
      </c>
      <c r="C139" t="s">
        <v>7</v>
      </c>
      <c r="D139">
        <v>1</v>
      </c>
      <c r="E139" t="s">
        <v>134</v>
      </c>
      <c r="F139" t="s">
        <v>13</v>
      </c>
      <c r="G139">
        <v>1</v>
      </c>
      <c r="H139">
        <v>2</v>
      </c>
      <c r="I139">
        <v>0</v>
      </c>
      <c r="J139">
        <v>38</v>
      </c>
      <c r="K139">
        <v>4</v>
      </c>
      <c r="L139" t="s">
        <v>20</v>
      </c>
      <c r="M139">
        <v>5</v>
      </c>
    </row>
    <row r="140" spans="1:13">
      <c r="A140">
        <f t="shared" ca="1" si="2"/>
        <v>0.44856117184612754</v>
      </c>
      <c r="B140">
        <v>139</v>
      </c>
      <c r="C140" t="s">
        <v>8</v>
      </c>
      <c r="D140">
        <v>1</v>
      </c>
      <c r="E140" t="s">
        <v>134</v>
      </c>
      <c r="F140" t="s">
        <v>16</v>
      </c>
      <c r="G140">
        <v>1</v>
      </c>
      <c r="H140">
        <v>3</v>
      </c>
      <c r="I140">
        <v>4</v>
      </c>
      <c r="J140">
        <v>41</v>
      </c>
      <c r="K140">
        <v>9</v>
      </c>
      <c r="L140" t="s">
        <v>26</v>
      </c>
      <c r="M140">
        <v>452</v>
      </c>
    </row>
    <row r="141" spans="1:13">
      <c r="A141">
        <f t="shared" ca="1" si="2"/>
        <v>0.99622297219840183</v>
      </c>
      <c r="B141">
        <v>140</v>
      </c>
      <c r="C141" t="s">
        <v>8</v>
      </c>
      <c r="D141">
        <v>4</v>
      </c>
      <c r="E141" t="s">
        <v>137</v>
      </c>
      <c r="F141" t="s">
        <v>16</v>
      </c>
      <c r="G141">
        <v>1</v>
      </c>
      <c r="H141">
        <v>3</v>
      </c>
      <c r="I141">
        <v>3</v>
      </c>
      <c r="J141">
        <v>38</v>
      </c>
      <c r="K141">
        <v>9</v>
      </c>
      <c r="L141" t="s">
        <v>19</v>
      </c>
      <c r="M141">
        <v>369</v>
      </c>
    </row>
    <row r="142" spans="1:13">
      <c r="A142">
        <f t="shared" ca="1" si="2"/>
        <v>0.7628546574854177</v>
      </c>
      <c r="B142">
        <v>141</v>
      </c>
      <c r="C142" t="s">
        <v>8</v>
      </c>
      <c r="D142">
        <v>4</v>
      </c>
      <c r="E142" t="s">
        <v>137</v>
      </c>
      <c r="F142" t="s">
        <v>14</v>
      </c>
      <c r="G142">
        <v>1</v>
      </c>
      <c r="H142">
        <v>2</v>
      </c>
      <c r="I142">
        <v>3</v>
      </c>
      <c r="J142">
        <v>49</v>
      </c>
      <c r="K142">
        <v>9</v>
      </c>
      <c r="L142" t="s">
        <v>19</v>
      </c>
      <c r="M142">
        <v>268</v>
      </c>
    </row>
    <row r="143" spans="1:13">
      <c r="A143">
        <f t="shared" ca="1" si="2"/>
        <v>0.83502310537689473</v>
      </c>
      <c r="B143">
        <v>142</v>
      </c>
      <c r="C143" t="s">
        <v>8</v>
      </c>
      <c r="D143">
        <v>4</v>
      </c>
      <c r="E143" t="s">
        <v>137</v>
      </c>
      <c r="F143" t="s">
        <v>14</v>
      </c>
      <c r="G143">
        <v>1</v>
      </c>
      <c r="H143">
        <v>2</v>
      </c>
      <c r="I143">
        <v>0</v>
      </c>
      <c r="J143">
        <v>48</v>
      </c>
      <c r="K143">
        <v>0</v>
      </c>
      <c r="L143" t="s">
        <v>19</v>
      </c>
      <c r="M143">
        <v>39</v>
      </c>
    </row>
    <row r="144" spans="1:13">
      <c r="A144">
        <f t="shared" ca="1" si="2"/>
        <v>0.21825491119900275</v>
      </c>
      <c r="B144">
        <v>143</v>
      </c>
      <c r="C144" t="s">
        <v>7</v>
      </c>
      <c r="D144">
        <v>1</v>
      </c>
      <c r="E144" t="s">
        <v>134</v>
      </c>
      <c r="F144" t="s">
        <v>14</v>
      </c>
      <c r="G144">
        <v>0.5</v>
      </c>
      <c r="H144">
        <v>2</v>
      </c>
      <c r="I144">
        <v>1</v>
      </c>
      <c r="J144">
        <v>60</v>
      </c>
      <c r="K144">
        <v>3</v>
      </c>
      <c r="L144" t="s">
        <v>19</v>
      </c>
      <c r="M144">
        <v>115</v>
      </c>
    </row>
    <row r="145" spans="1:13">
      <c r="A145">
        <f t="shared" ca="1" si="2"/>
        <v>0.77706912207881829</v>
      </c>
      <c r="B145">
        <v>144</v>
      </c>
      <c r="C145" t="s">
        <v>8</v>
      </c>
      <c r="D145">
        <v>6</v>
      </c>
      <c r="E145" t="s">
        <v>139</v>
      </c>
      <c r="F145" t="s">
        <v>17</v>
      </c>
      <c r="G145">
        <v>1</v>
      </c>
      <c r="H145">
        <v>3</v>
      </c>
      <c r="I145">
        <v>2</v>
      </c>
      <c r="J145">
        <v>41</v>
      </c>
      <c r="K145">
        <v>0</v>
      </c>
      <c r="L145" t="s">
        <v>26</v>
      </c>
      <c r="M145">
        <v>201</v>
      </c>
    </row>
    <row r="146" spans="1:13">
      <c r="A146">
        <f t="shared" ca="1" si="2"/>
        <v>4.1630663943017621E-2</v>
      </c>
      <c r="B146">
        <v>145</v>
      </c>
      <c r="C146" t="s">
        <v>8</v>
      </c>
      <c r="D146">
        <v>3</v>
      </c>
      <c r="E146" t="s">
        <v>135</v>
      </c>
      <c r="F146" t="s">
        <v>16</v>
      </c>
      <c r="G146">
        <v>1</v>
      </c>
      <c r="H146">
        <v>2</v>
      </c>
      <c r="I146">
        <v>2</v>
      </c>
      <c r="J146">
        <v>56</v>
      </c>
      <c r="K146">
        <v>1</v>
      </c>
      <c r="L146" t="s">
        <v>21</v>
      </c>
      <c r="M146">
        <v>222</v>
      </c>
    </row>
    <row r="147" spans="1:13">
      <c r="A147">
        <f t="shared" ca="1" si="2"/>
        <v>0.96702011325623893</v>
      </c>
      <c r="B147">
        <v>146</v>
      </c>
      <c r="C147" t="s">
        <v>8</v>
      </c>
      <c r="D147">
        <v>1</v>
      </c>
      <c r="E147" t="s">
        <v>134</v>
      </c>
      <c r="F147" t="s">
        <v>16</v>
      </c>
      <c r="G147">
        <v>1</v>
      </c>
      <c r="H147">
        <v>3</v>
      </c>
      <c r="I147">
        <v>3</v>
      </c>
      <c r="J147">
        <v>46</v>
      </c>
      <c r="K147">
        <v>9</v>
      </c>
      <c r="L147" t="s">
        <v>31</v>
      </c>
      <c r="M147">
        <v>372</v>
      </c>
    </row>
    <row r="148" spans="1:13">
      <c r="A148">
        <f t="shared" ca="1" si="2"/>
        <v>0.91316757920304581</v>
      </c>
      <c r="B148">
        <v>147</v>
      </c>
      <c r="C148" t="s">
        <v>7</v>
      </c>
      <c r="D148">
        <v>3</v>
      </c>
      <c r="E148" t="s">
        <v>135</v>
      </c>
      <c r="F148" t="s">
        <v>14</v>
      </c>
      <c r="G148">
        <v>1</v>
      </c>
      <c r="H148">
        <v>2</v>
      </c>
      <c r="I148">
        <v>4</v>
      </c>
      <c r="J148">
        <v>45</v>
      </c>
      <c r="K148">
        <v>0</v>
      </c>
      <c r="L148" t="s">
        <v>31</v>
      </c>
      <c r="M148">
        <v>445</v>
      </c>
    </row>
    <row r="149" spans="1:13">
      <c r="A149">
        <f t="shared" ca="1" si="2"/>
        <v>0.62010835633522543</v>
      </c>
      <c r="B149">
        <v>148</v>
      </c>
      <c r="C149" t="s">
        <v>8</v>
      </c>
      <c r="D149">
        <v>1</v>
      </c>
      <c r="E149" t="s">
        <v>134</v>
      </c>
      <c r="F149" t="s">
        <v>14</v>
      </c>
      <c r="G149">
        <v>1</v>
      </c>
      <c r="H149">
        <v>3</v>
      </c>
      <c r="I149">
        <v>2</v>
      </c>
      <c r="J149">
        <v>35</v>
      </c>
      <c r="K149">
        <v>7</v>
      </c>
      <c r="L149" t="s">
        <v>19</v>
      </c>
      <c r="M149">
        <v>161</v>
      </c>
    </row>
    <row r="150" spans="1:13">
      <c r="A150">
        <f t="shared" ca="1" si="2"/>
        <v>0.74109020519583912</v>
      </c>
      <c r="B150">
        <v>149</v>
      </c>
      <c r="C150" t="s">
        <v>8</v>
      </c>
      <c r="D150">
        <v>3</v>
      </c>
      <c r="E150" t="s">
        <v>135</v>
      </c>
      <c r="F150" t="s">
        <v>16</v>
      </c>
      <c r="G150">
        <v>1</v>
      </c>
      <c r="H150">
        <v>2</v>
      </c>
      <c r="I150">
        <v>2</v>
      </c>
      <c r="J150">
        <v>44</v>
      </c>
      <c r="K150">
        <v>5</v>
      </c>
      <c r="L150" t="s">
        <v>30</v>
      </c>
      <c r="M150">
        <v>245</v>
      </c>
    </row>
    <row r="151" spans="1:13">
      <c r="A151">
        <f t="shared" ca="1" si="2"/>
        <v>0.69589031025131154</v>
      </c>
      <c r="B151">
        <v>150</v>
      </c>
      <c r="C151" t="s">
        <v>8</v>
      </c>
      <c r="D151">
        <v>4</v>
      </c>
      <c r="E151" t="s">
        <v>137</v>
      </c>
      <c r="F151" t="s">
        <v>14</v>
      </c>
      <c r="G151">
        <v>1</v>
      </c>
      <c r="H151">
        <v>2</v>
      </c>
      <c r="I151">
        <v>2</v>
      </c>
      <c r="J151">
        <v>32</v>
      </c>
      <c r="K151">
        <v>4</v>
      </c>
      <c r="L151" t="s">
        <v>19</v>
      </c>
      <c r="M151">
        <v>204</v>
      </c>
    </row>
    <row r="152" spans="1:13">
      <c r="A152">
        <f t="shared" ca="1" si="2"/>
        <v>0.60026675412657815</v>
      </c>
      <c r="B152">
        <v>151</v>
      </c>
      <c r="C152" t="s">
        <v>8</v>
      </c>
      <c r="D152">
        <v>2</v>
      </c>
      <c r="E152" t="s">
        <v>140</v>
      </c>
      <c r="F152" t="s">
        <v>16</v>
      </c>
      <c r="G152">
        <v>1</v>
      </c>
      <c r="H152">
        <v>2</v>
      </c>
      <c r="I152">
        <v>2</v>
      </c>
      <c r="J152">
        <v>55</v>
      </c>
      <c r="K152">
        <v>4</v>
      </c>
      <c r="L152" t="s">
        <v>26</v>
      </c>
      <c r="M152">
        <v>180</v>
      </c>
    </row>
    <row r="153" spans="1:13">
      <c r="A153">
        <f t="shared" ca="1" si="2"/>
        <v>0.51914449052283851</v>
      </c>
      <c r="B153">
        <v>152</v>
      </c>
      <c r="C153" t="s">
        <v>8</v>
      </c>
      <c r="D153">
        <v>5</v>
      </c>
      <c r="E153" t="s">
        <v>136</v>
      </c>
      <c r="F153" t="s">
        <v>13</v>
      </c>
      <c r="G153">
        <v>1</v>
      </c>
      <c r="H153">
        <v>3</v>
      </c>
      <c r="I153">
        <v>3</v>
      </c>
      <c r="J153">
        <v>37</v>
      </c>
      <c r="K153">
        <v>3</v>
      </c>
      <c r="L153" t="s">
        <v>28</v>
      </c>
      <c r="M153">
        <v>344</v>
      </c>
    </row>
    <row r="154" spans="1:13">
      <c r="A154">
        <f t="shared" ca="1" si="2"/>
        <v>0.56387881715536048</v>
      </c>
      <c r="B154">
        <v>153</v>
      </c>
      <c r="C154" t="s">
        <v>7</v>
      </c>
      <c r="D154">
        <v>4</v>
      </c>
      <c r="E154" t="s">
        <v>137</v>
      </c>
      <c r="F154" t="s">
        <v>16</v>
      </c>
      <c r="G154">
        <v>1</v>
      </c>
      <c r="H154">
        <v>2</v>
      </c>
      <c r="I154">
        <v>4</v>
      </c>
      <c r="J154">
        <v>36</v>
      </c>
      <c r="K154">
        <v>0</v>
      </c>
      <c r="L154" t="s">
        <v>19</v>
      </c>
      <c r="M154">
        <v>451</v>
      </c>
    </row>
    <row r="155" spans="1:13">
      <c r="A155">
        <f t="shared" ca="1" si="2"/>
        <v>9.4042327607672171E-2</v>
      </c>
      <c r="B155">
        <v>154</v>
      </c>
      <c r="C155" t="s">
        <v>8</v>
      </c>
      <c r="D155">
        <v>1</v>
      </c>
      <c r="E155" t="s">
        <v>134</v>
      </c>
      <c r="F155" t="s">
        <v>14</v>
      </c>
      <c r="G155">
        <v>1</v>
      </c>
      <c r="H155">
        <v>2</v>
      </c>
      <c r="I155">
        <v>1</v>
      </c>
      <c r="J155">
        <v>35</v>
      </c>
      <c r="K155">
        <v>9</v>
      </c>
      <c r="L155" t="s">
        <v>19</v>
      </c>
      <c r="M155">
        <v>125</v>
      </c>
    </row>
    <row r="156" spans="1:13">
      <c r="A156">
        <f t="shared" ca="1" si="2"/>
        <v>0.24168059703780997</v>
      </c>
      <c r="B156">
        <v>155</v>
      </c>
      <c r="C156" t="s">
        <v>7</v>
      </c>
      <c r="D156">
        <v>1</v>
      </c>
      <c r="E156" t="s">
        <v>134</v>
      </c>
      <c r="F156" t="s">
        <v>14</v>
      </c>
      <c r="G156">
        <v>1</v>
      </c>
      <c r="H156">
        <v>2</v>
      </c>
      <c r="I156">
        <v>2</v>
      </c>
      <c r="J156">
        <v>46</v>
      </c>
      <c r="K156">
        <v>6</v>
      </c>
      <c r="L156" t="s">
        <v>19</v>
      </c>
      <c r="M156">
        <v>170</v>
      </c>
    </row>
    <row r="157" spans="1:13">
      <c r="A157">
        <f t="shared" ca="1" si="2"/>
        <v>0.58269112036680626</v>
      </c>
      <c r="B157">
        <v>156</v>
      </c>
      <c r="C157" t="s">
        <v>8</v>
      </c>
      <c r="D157">
        <v>1</v>
      </c>
      <c r="E157" t="s">
        <v>134</v>
      </c>
      <c r="F157" t="s">
        <v>15</v>
      </c>
      <c r="G157">
        <v>1</v>
      </c>
      <c r="H157">
        <v>2</v>
      </c>
      <c r="I157">
        <v>2</v>
      </c>
      <c r="J157">
        <v>41</v>
      </c>
      <c r="K157">
        <v>8</v>
      </c>
      <c r="L157" t="s">
        <v>26</v>
      </c>
      <c r="M157">
        <v>244</v>
      </c>
    </row>
    <row r="158" spans="1:13">
      <c r="A158">
        <f t="shared" ca="1" si="2"/>
        <v>0.6987273262978031</v>
      </c>
      <c r="B158">
        <v>157</v>
      </c>
      <c r="C158" t="s">
        <v>7</v>
      </c>
      <c r="D158">
        <v>2</v>
      </c>
      <c r="E158" t="s">
        <v>140</v>
      </c>
      <c r="F158" t="s">
        <v>14</v>
      </c>
      <c r="G158">
        <v>0.9</v>
      </c>
      <c r="H158">
        <v>3</v>
      </c>
      <c r="I158">
        <v>3</v>
      </c>
      <c r="J158">
        <v>50</v>
      </c>
      <c r="K158">
        <v>0</v>
      </c>
      <c r="L158" t="s">
        <v>19</v>
      </c>
      <c r="M158">
        <v>355</v>
      </c>
    </row>
    <row r="159" spans="1:13">
      <c r="A159">
        <f t="shared" ca="1" si="2"/>
        <v>0.87577874678899703</v>
      </c>
      <c r="B159">
        <v>158</v>
      </c>
      <c r="C159" t="s">
        <v>8</v>
      </c>
      <c r="D159">
        <v>1</v>
      </c>
      <c r="E159" t="s">
        <v>134</v>
      </c>
      <c r="F159" t="s">
        <v>15</v>
      </c>
      <c r="G159">
        <v>1</v>
      </c>
      <c r="H159">
        <v>3</v>
      </c>
      <c r="I159">
        <v>3</v>
      </c>
      <c r="J159">
        <v>43</v>
      </c>
      <c r="K159">
        <v>8</v>
      </c>
      <c r="L159" t="s">
        <v>19</v>
      </c>
      <c r="M159">
        <v>273</v>
      </c>
    </row>
    <row r="160" spans="1:13">
      <c r="A160">
        <f t="shared" ca="1" si="2"/>
        <v>0.55606039738803015</v>
      </c>
      <c r="B160">
        <v>159</v>
      </c>
      <c r="C160" t="s">
        <v>8</v>
      </c>
      <c r="D160">
        <v>4</v>
      </c>
      <c r="E160" t="s">
        <v>137</v>
      </c>
      <c r="F160" t="s">
        <v>16</v>
      </c>
      <c r="G160">
        <v>1</v>
      </c>
      <c r="H160">
        <v>2</v>
      </c>
      <c r="I160">
        <v>1</v>
      </c>
      <c r="J160">
        <v>42</v>
      </c>
      <c r="K160">
        <v>3</v>
      </c>
      <c r="L160" t="s">
        <v>30</v>
      </c>
      <c r="M160">
        <v>89</v>
      </c>
    </row>
    <row r="161" spans="1:13">
      <c r="A161">
        <f t="shared" ca="1" si="2"/>
        <v>0.55395708824966416</v>
      </c>
      <c r="B161">
        <v>160</v>
      </c>
      <c r="C161" t="s">
        <v>8</v>
      </c>
      <c r="D161">
        <v>4</v>
      </c>
      <c r="E161" t="s">
        <v>137</v>
      </c>
      <c r="F161" t="s">
        <v>16</v>
      </c>
      <c r="G161">
        <v>1</v>
      </c>
      <c r="H161">
        <v>2</v>
      </c>
      <c r="I161">
        <v>3</v>
      </c>
      <c r="J161">
        <v>40</v>
      </c>
      <c r="K161">
        <v>3</v>
      </c>
      <c r="L161" t="s">
        <v>19</v>
      </c>
      <c r="M161">
        <v>292</v>
      </c>
    </row>
    <row r="162" spans="1:13">
      <c r="A162">
        <f t="shared" ca="1" si="2"/>
        <v>0.61479366030411697</v>
      </c>
      <c r="B162">
        <v>161</v>
      </c>
      <c r="C162" t="s">
        <v>8</v>
      </c>
      <c r="D162">
        <v>3</v>
      </c>
      <c r="E162" t="s">
        <v>135</v>
      </c>
      <c r="F162" t="s">
        <v>14</v>
      </c>
      <c r="G162">
        <v>1</v>
      </c>
      <c r="H162">
        <v>2</v>
      </c>
      <c r="I162">
        <v>6</v>
      </c>
      <c r="J162">
        <v>27</v>
      </c>
      <c r="K162">
        <v>9</v>
      </c>
      <c r="L162" t="s">
        <v>19</v>
      </c>
      <c r="M162">
        <v>486</v>
      </c>
    </row>
    <row r="163" spans="1:13">
      <c r="A163">
        <f t="shared" ca="1" si="2"/>
        <v>0.9788247250664257</v>
      </c>
      <c r="B163">
        <v>162</v>
      </c>
      <c r="C163" t="s">
        <v>8</v>
      </c>
      <c r="D163">
        <v>1</v>
      </c>
      <c r="E163" t="s">
        <v>134</v>
      </c>
      <c r="F163" t="s">
        <v>14</v>
      </c>
      <c r="G163">
        <v>1</v>
      </c>
      <c r="H163">
        <v>2</v>
      </c>
      <c r="I163">
        <v>1</v>
      </c>
      <c r="J163">
        <v>58</v>
      </c>
      <c r="K163">
        <v>4</v>
      </c>
      <c r="L163" t="s">
        <v>31</v>
      </c>
      <c r="M163">
        <v>113</v>
      </c>
    </row>
    <row r="164" spans="1:13">
      <c r="A164">
        <f t="shared" ca="1" si="2"/>
        <v>5.8722876011938485E-3</v>
      </c>
      <c r="B164">
        <v>163</v>
      </c>
      <c r="C164" t="s">
        <v>8</v>
      </c>
      <c r="D164">
        <v>3</v>
      </c>
      <c r="E164" t="s">
        <v>135</v>
      </c>
      <c r="F164" t="s">
        <v>12</v>
      </c>
      <c r="G164">
        <v>1</v>
      </c>
      <c r="H164">
        <v>2</v>
      </c>
      <c r="I164">
        <v>1</v>
      </c>
      <c r="J164">
        <v>32</v>
      </c>
      <c r="K164">
        <v>2</v>
      </c>
      <c r="L164" t="s">
        <v>19</v>
      </c>
      <c r="M164">
        <v>96</v>
      </c>
    </row>
    <row r="165" spans="1:13">
      <c r="A165">
        <f t="shared" ca="1" si="2"/>
        <v>0.15627935748096744</v>
      </c>
      <c r="B165">
        <v>164</v>
      </c>
      <c r="C165" t="s">
        <v>8</v>
      </c>
      <c r="D165">
        <v>2</v>
      </c>
      <c r="E165" t="s">
        <v>140</v>
      </c>
      <c r="F165" t="s">
        <v>14</v>
      </c>
      <c r="G165">
        <v>1</v>
      </c>
      <c r="H165">
        <v>4</v>
      </c>
      <c r="I165">
        <v>1</v>
      </c>
      <c r="J165">
        <v>52</v>
      </c>
      <c r="K165">
        <v>9</v>
      </c>
      <c r="L165" t="s">
        <v>32</v>
      </c>
      <c r="M165">
        <v>58</v>
      </c>
    </row>
    <row r="166" spans="1:13">
      <c r="A166">
        <f t="shared" ca="1" si="2"/>
        <v>0.44740976367660379</v>
      </c>
      <c r="B166">
        <v>165</v>
      </c>
      <c r="C166" t="s">
        <v>7</v>
      </c>
      <c r="D166">
        <v>1</v>
      </c>
      <c r="E166" t="s">
        <v>134</v>
      </c>
      <c r="F166" t="s">
        <v>14</v>
      </c>
      <c r="G166">
        <v>1</v>
      </c>
      <c r="H166">
        <v>2</v>
      </c>
      <c r="I166">
        <v>1</v>
      </c>
      <c r="J166">
        <v>31</v>
      </c>
      <c r="K166">
        <v>5</v>
      </c>
      <c r="L166" t="s">
        <v>31</v>
      </c>
      <c r="M166">
        <v>133</v>
      </c>
    </row>
    <row r="167" spans="1:13">
      <c r="A167">
        <f t="shared" ca="1" si="2"/>
        <v>0.98468715300072329</v>
      </c>
      <c r="B167">
        <v>166</v>
      </c>
      <c r="C167" t="s">
        <v>8</v>
      </c>
      <c r="D167">
        <v>2</v>
      </c>
      <c r="E167" t="s">
        <v>140</v>
      </c>
      <c r="F167" t="s">
        <v>16</v>
      </c>
      <c r="G167">
        <v>1</v>
      </c>
      <c r="H167">
        <v>2</v>
      </c>
      <c r="I167">
        <v>3</v>
      </c>
      <c r="J167">
        <v>29</v>
      </c>
      <c r="K167">
        <v>7</v>
      </c>
      <c r="L167" t="s">
        <v>19</v>
      </c>
      <c r="M167">
        <v>346</v>
      </c>
    </row>
    <row r="168" spans="1:13">
      <c r="A168">
        <f t="shared" ca="1" si="2"/>
        <v>0.90718555694003711</v>
      </c>
      <c r="B168">
        <v>167</v>
      </c>
      <c r="C168" t="s">
        <v>8</v>
      </c>
      <c r="D168">
        <v>5</v>
      </c>
      <c r="E168" t="s">
        <v>136</v>
      </c>
      <c r="F168" t="s">
        <v>15</v>
      </c>
      <c r="G168">
        <v>1</v>
      </c>
      <c r="H168">
        <v>2</v>
      </c>
      <c r="I168">
        <v>1</v>
      </c>
      <c r="J168">
        <v>36</v>
      </c>
      <c r="K168">
        <v>3</v>
      </c>
      <c r="L168" t="s">
        <v>30</v>
      </c>
      <c r="M168">
        <v>105</v>
      </c>
    </row>
    <row r="169" spans="1:13">
      <c r="A169">
        <f t="shared" ca="1" si="2"/>
        <v>0.31630825872422996</v>
      </c>
      <c r="B169">
        <v>168</v>
      </c>
      <c r="C169" t="s">
        <v>8</v>
      </c>
      <c r="D169">
        <v>2</v>
      </c>
      <c r="E169" t="s">
        <v>140</v>
      </c>
      <c r="F169" t="s">
        <v>16</v>
      </c>
      <c r="G169">
        <v>1</v>
      </c>
      <c r="H169">
        <v>2</v>
      </c>
      <c r="I169">
        <v>3</v>
      </c>
      <c r="J169">
        <v>33</v>
      </c>
      <c r="K169">
        <v>9</v>
      </c>
      <c r="L169" t="s">
        <v>31</v>
      </c>
      <c r="M169">
        <v>414</v>
      </c>
    </row>
    <row r="170" spans="1:13">
      <c r="A170">
        <f t="shared" ca="1" si="2"/>
        <v>0.94610648813874265</v>
      </c>
      <c r="B170">
        <v>169</v>
      </c>
      <c r="C170" t="s">
        <v>7</v>
      </c>
      <c r="D170">
        <v>2</v>
      </c>
      <c r="E170" t="s">
        <v>140</v>
      </c>
      <c r="F170" t="s">
        <v>16</v>
      </c>
      <c r="G170">
        <v>1</v>
      </c>
      <c r="H170">
        <v>2</v>
      </c>
      <c r="I170">
        <v>3</v>
      </c>
      <c r="J170">
        <v>42</v>
      </c>
      <c r="K170">
        <v>7</v>
      </c>
      <c r="L170" t="s">
        <v>31</v>
      </c>
      <c r="M170">
        <v>419</v>
      </c>
    </row>
    <row r="171" spans="1:13">
      <c r="A171">
        <f t="shared" ca="1" si="2"/>
        <v>0.11009807106255765</v>
      </c>
      <c r="B171">
        <v>170</v>
      </c>
      <c r="C171" t="s">
        <v>8</v>
      </c>
      <c r="D171">
        <v>3</v>
      </c>
      <c r="E171" t="s">
        <v>135</v>
      </c>
      <c r="F171" t="s">
        <v>16</v>
      </c>
      <c r="G171">
        <v>1</v>
      </c>
      <c r="H171">
        <v>3</v>
      </c>
      <c r="I171">
        <v>2</v>
      </c>
      <c r="J171">
        <v>24</v>
      </c>
      <c r="K171">
        <v>2</v>
      </c>
      <c r="L171" t="s">
        <v>19</v>
      </c>
      <c r="M171">
        <v>208</v>
      </c>
    </row>
    <row r="172" spans="1:13">
      <c r="A172">
        <f t="shared" ca="1" si="2"/>
        <v>0.97460413724293826</v>
      </c>
      <c r="B172">
        <v>171</v>
      </c>
      <c r="C172" t="s">
        <v>7</v>
      </c>
      <c r="D172">
        <v>3</v>
      </c>
      <c r="E172" t="s">
        <v>135</v>
      </c>
      <c r="F172" t="s">
        <v>16</v>
      </c>
      <c r="G172">
        <v>0.8</v>
      </c>
      <c r="H172">
        <v>2</v>
      </c>
      <c r="I172">
        <v>2</v>
      </c>
      <c r="J172">
        <v>29</v>
      </c>
      <c r="K172">
        <v>9</v>
      </c>
      <c r="L172" t="s">
        <v>26</v>
      </c>
      <c r="M172">
        <v>202</v>
      </c>
    </row>
    <row r="173" spans="1:13">
      <c r="A173">
        <f t="shared" ca="1" si="2"/>
        <v>0.53167508202951719</v>
      </c>
      <c r="B173">
        <v>172</v>
      </c>
      <c r="C173" t="s">
        <v>8</v>
      </c>
      <c r="D173">
        <v>4</v>
      </c>
      <c r="E173" t="s">
        <v>137</v>
      </c>
      <c r="F173" t="s">
        <v>13</v>
      </c>
      <c r="G173">
        <v>1</v>
      </c>
      <c r="H173">
        <v>2</v>
      </c>
      <c r="I173">
        <v>3</v>
      </c>
      <c r="J173">
        <v>40</v>
      </c>
      <c r="K173">
        <v>4</v>
      </c>
      <c r="L173" t="s">
        <v>19</v>
      </c>
      <c r="M173">
        <v>402</v>
      </c>
    </row>
    <row r="174" spans="1:13">
      <c r="A174">
        <f t="shared" ca="1" si="2"/>
        <v>0.33853788972032617</v>
      </c>
      <c r="B174">
        <v>173</v>
      </c>
      <c r="C174" t="s">
        <v>7</v>
      </c>
      <c r="D174">
        <v>2</v>
      </c>
      <c r="E174" t="s">
        <v>140</v>
      </c>
      <c r="F174" t="s">
        <v>14</v>
      </c>
      <c r="G174">
        <v>0.4</v>
      </c>
      <c r="H174">
        <v>2</v>
      </c>
      <c r="I174">
        <v>3</v>
      </c>
      <c r="J174">
        <v>41</v>
      </c>
      <c r="K174">
        <v>7</v>
      </c>
      <c r="L174" t="s">
        <v>26</v>
      </c>
      <c r="M174">
        <v>317</v>
      </c>
    </row>
    <row r="175" spans="1:13">
      <c r="A175">
        <f t="shared" ca="1" si="2"/>
        <v>0.91752536791871486</v>
      </c>
      <c r="B175">
        <v>174</v>
      </c>
      <c r="C175" t="s">
        <v>8</v>
      </c>
      <c r="D175">
        <v>5</v>
      </c>
      <c r="E175" t="s">
        <v>136</v>
      </c>
      <c r="F175" t="s">
        <v>14</v>
      </c>
      <c r="G175">
        <v>1</v>
      </c>
      <c r="H175">
        <v>2</v>
      </c>
      <c r="I175">
        <v>1</v>
      </c>
      <c r="J175">
        <v>52</v>
      </c>
      <c r="K175">
        <v>9</v>
      </c>
      <c r="L175" t="s">
        <v>31</v>
      </c>
      <c r="M175">
        <v>76</v>
      </c>
    </row>
    <row r="176" spans="1:13">
      <c r="A176">
        <f t="shared" ca="1" si="2"/>
        <v>0.60043865438944088</v>
      </c>
      <c r="B176">
        <v>175</v>
      </c>
      <c r="C176" t="s">
        <v>8</v>
      </c>
      <c r="D176">
        <v>3</v>
      </c>
      <c r="E176" t="s">
        <v>135</v>
      </c>
      <c r="F176" t="s">
        <v>12</v>
      </c>
      <c r="G176">
        <v>1</v>
      </c>
      <c r="H176">
        <v>2</v>
      </c>
      <c r="I176">
        <v>0</v>
      </c>
      <c r="J176">
        <v>50</v>
      </c>
      <c r="K176">
        <v>4</v>
      </c>
      <c r="L176" t="s">
        <v>19</v>
      </c>
      <c r="M176">
        <v>3</v>
      </c>
    </row>
    <row r="177" spans="1:13">
      <c r="A177">
        <f t="shared" ca="1" si="2"/>
        <v>0.49929651668372355</v>
      </c>
      <c r="B177">
        <v>176</v>
      </c>
      <c r="C177" t="s">
        <v>7</v>
      </c>
      <c r="D177">
        <v>4</v>
      </c>
      <c r="E177" t="s">
        <v>137</v>
      </c>
      <c r="F177" t="s">
        <v>15</v>
      </c>
      <c r="G177">
        <v>1</v>
      </c>
      <c r="H177">
        <v>2</v>
      </c>
      <c r="I177">
        <v>0</v>
      </c>
      <c r="J177">
        <v>30</v>
      </c>
      <c r="K177">
        <v>4</v>
      </c>
      <c r="L177" t="s">
        <v>31</v>
      </c>
      <c r="M177">
        <v>4</v>
      </c>
    </row>
    <row r="178" spans="1:13">
      <c r="A178">
        <f t="shared" ca="1" si="2"/>
        <v>0.89898046905156748</v>
      </c>
      <c r="B178">
        <v>177</v>
      </c>
      <c r="C178" t="s">
        <v>8</v>
      </c>
      <c r="D178">
        <v>3</v>
      </c>
      <c r="E178" t="s">
        <v>135</v>
      </c>
      <c r="F178" t="s">
        <v>14</v>
      </c>
      <c r="G178">
        <v>1</v>
      </c>
      <c r="H178">
        <v>3</v>
      </c>
      <c r="I178">
        <v>1</v>
      </c>
      <c r="J178">
        <v>44</v>
      </c>
      <c r="K178">
        <v>5</v>
      </c>
      <c r="L178" t="s">
        <v>21</v>
      </c>
      <c r="M178">
        <v>127</v>
      </c>
    </row>
    <row r="179" spans="1:13">
      <c r="A179">
        <f t="shared" ca="1" si="2"/>
        <v>0.86736987466522453</v>
      </c>
      <c r="B179">
        <v>178</v>
      </c>
      <c r="C179" t="s">
        <v>8</v>
      </c>
      <c r="D179">
        <v>2</v>
      </c>
      <c r="E179" t="s">
        <v>140</v>
      </c>
      <c r="F179" t="s">
        <v>15</v>
      </c>
      <c r="G179">
        <v>0.9</v>
      </c>
      <c r="H179">
        <v>3</v>
      </c>
      <c r="I179">
        <v>5</v>
      </c>
      <c r="J179">
        <v>39</v>
      </c>
      <c r="K179">
        <v>9</v>
      </c>
      <c r="L179" t="s">
        <v>19</v>
      </c>
      <c r="M179">
        <v>461</v>
      </c>
    </row>
    <row r="180" spans="1:13">
      <c r="A180">
        <f t="shared" ca="1" si="2"/>
        <v>0.46994231000577313</v>
      </c>
      <c r="B180">
        <v>179</v>
      </c>
      <c r="C180" t="s">
        <v>8</v>
      </c>
      <c r="D180">
        <v>3</v>
      </c>
      <c r="E180" t="s">
        <v>135</v>
      </c>
      <c r="F180" t="s">
        <v>16</v>
      </c>
      <c r="G180">
        <v>1</v>
      </c>
      <c r="H180">
        <v>3</v>
      </c>
      <c r="I180">
        <v>3</v>
      </c>
      <c r="J180">
        <v>55</v>
      </c>
      <c r="K180">
        <v>5</v>
      </c>
      <c r="L180" t="s">
        <v>30</v>
      </c>
      <c r="M180">
        <v>275</v>
      </c>
    </row>
    <row r="181" spans="1:13">
      <c r="A181">
        <f t="shared" ca="1" si="2"/>
        <v>0.29167889998710028</v>
      </c>
      <c r="B181">
        <v>180</v>
      </c>
      <c r="C181" t="s">
        <v>8</v>
      </c>
      <c r="D181">
        <v>4</v>
      </c>
      <c r="E181" t="s">
        <v>137</v>
      </c>
      <c r="F181" t="s">
        <v>13</v>
      </c>
      <c r="G181">
        <v>1</v>
      </c>
      <c r="H181">
        <v>3</v>
      </c>
      <c r="I181">
        <v>3</v>
      </c>
      <c r="J181">
        <v>39</v>
      </c>
      <c r="K181">
        <v>4</v>
      </c>
      <c r="L181" t="s">
        <v>19</v>
      </c>
      <c r="M181">
        <v>265</v>
      </c>
    </row>
    <row r="182" spans="1:13">
      <c r="A182">
        <f t="shared" ca="1" si="2"/>
        <v>0.14706783801256174</v>
      </c>
      <c r="B182">
        <v>181</v>
      </c>
      <c r="C182" t="s">
        <v>7</v>
      </c>
      <c r="D182">
        <v>2</v>
      </c>
      <c r="E182" t="s">
        <v>140</v>
      </c>
      <c r="F182" t="s">
        <v>14</v>
      </c>
      <c r="G182">
        <v>1</v>
      </c>
      <c r="H182">
        <v>2</v>
      </c>
      <c r="I182">
        <v>1</v>
      </c>
      <c r="J182">
        <v>35</v>
      </c>
      <c r="K182">
        <v>8</v>
      </c>
      <c r="L182" t="s">
        <v>26</v>
      </c>
      <c r="M182">
        <v>139</v>
      </c>
    </row>
    <row r="183" spans="1:13">
      <c r="A183">
        <f t="shared" ca="1" si="2"/>
        <v>0.45126758140380385</v>
      </c>
      <c r="B183">
        <v>182</v>
      </c>
      <c r="C183" t="s">
        <v>7</v>
      </c>
      <c r="D183">
        <v>1</v>
      </c>
      <c r="E183" t="s">
        <v>134</v>
      </c>
      <c r="F183" t="s">
        <v>15</v>
      </c>
      <c r="G183">
        <v>1</v>
      </c>
      <c r="H183">
        <v>2</v>
      </c>
      <c r="I183">
        <v>2</v>
      </c>
      <c r="J183">
        <v>47</v>
      </c>
      <c r="K183">
        <v>8</v>
      </c>
      <c r="L183" t="s">
        <v>30</v>
      </c>
      <c r="M183">
        <v>194</v>
      </c>
    </row>
    <row r="184" spans="1:13">
      <c r="A184">
        <f t="shared" ca="1" si="2"/>
        <v>0.20710373309541363</v>
      </c>
      <c r="B184">
        <v>183</v>
      </c>
      <c r="C184" t="s">
        <v>7</v>
      </c>
      <c r="D184">
        <v>2</v>
      </c>
      <c r="E184" t="s">
        <v>140</v>
      </c>
      <c r="F184" t="s">
        <v>14</v>
      </c>
      <c r="G184">
        <v>0.6</v>
      </c>
      <c r="H184">
        <v>2</v>
      </c>
      <c r="I184">
        <v>3</v>
      </c>
      <c r="J184">
        <v>36</v>
      </c>
      <c r="K184">
        <v>1</v>
      </c>
      <c r="L184" t="s">
        <v>38</v>
      </c>
      <c r="M184">
        <v>387</v>
      </c>
    </row>
    <row r="185" spans="1:13">
      <c r="A185">
        <f t="shared" ca="1" si="2"/>
        <v>0.9048839946073437</v>
      </c>
      <c r="B185">
        <v>184</v>
      </c>
      <c r="C185" t="s">
        <v>8</v>
      </c>
      <c r="D185">
        <v>1</v>
      </c>
      <c r="E185" t="s">
        <v>134</v>
      </c>
      <c r="F185" t="s">
        <v>15</v>
      </c>
      <c r="G185">
        <v>1</v>
      </c>
      <c r="H185">
        <v>2</v>
      </c>
      <c r="I185">
        <v>3</v>
      </c>
      <c r="J185">
        <v>36</v>
      </c>
      <c r="K185">
        <v>0</v>
      </c>
      <c r="L185" t="s">
        <v>19</v>
      </c>
      <c r="M185">
        <v>358</v>
      </c>
    </row>
    <row r="186" spans="1:13">
      <c r="A186">
        <f t="shared" ca="1" si="2"/>
        <v>0.83905947604198394</v>
      </c>
      <c r="B186">
        <v>185</v>
      </c>
      <c r="C186" t="s">
        <v>8</v>
      </c>
      <c r="D186">
        <v>1</v>
      </c>
      <c r="E186" t="s">
        <v>134</v>
      </c>
      <c r="F186" t="s">
        <v>16</v>
      </c>
      <c r="G186">
        <v>1</v>
      </c>
      <c r="H186">
        <v>3</v>
      </c>
      <c r="I186">
        <v>7</v>
      </c>
      <c r="J186">
        <v>56</v>
      </c>
      <c r="K186">
        <v>0</v>
      </c>
      <c r="L186" t="s">
        <v>30</v>
      </c>
      <c r="M186">
        <v>492</v>
      </c>
    </row>
    <row r="187" spans="1:13">
      <c r="A187">
        <f t="shared" ca="1" si="2"/>
        <v>0.83878616129135131</v>
      </c>
      <c r="B187">
        <v>186</v>
      </c>
      <c r="C187" t="s">
        <v>8</v>
      </c>
      <c r="D187">
        <v>1</v>
      </c>
      <c r="E187" t="s">
        <v>134</v>
      </c>
      <c r="F187" t="s">
        <v>14</v>
      </c>
      <c r="G187">
        <v>1</v>
      </c>
      <c r="H187">
        <v>3</v>
      </c>
      <c r="I187">
        <v>1</v>
      </c>
      <c r="J187">
        <v>37</v>
      </c>
      <c r="K187">
        <v>8</v>
      </c>
      <c r="L187" t="s">
        <v>30</v>
      </c>
      <c r="M187">
        <v>134</v>
      </c>
    </row>
    <row r="188" spans="1:13">
      <c r="A188">
        <f t="shared" ca="1" si="2"/>
        <v>0.89426184895769245</v>
      </c>
      <c r="B188">
        <v>187</v>
      </c>
      <c r="C188" t="s">
        <v>8</v>
      </c>
      <c r="D188">
        <v>2</v>
      </c>
      <c r="E188" t="s">
        <v>140</v>
      </c>
      <c r="F188" t="s">
        <v>16</v>
      </c>
      <c r="G188">
        <v>1</v>
      </c>
      <c r="H188">
        <v>2</v>
      </c>
      <c r="I188">
        <v>3</v>
      </c>
      <c r="J188">
        <v>49</v>
      </c>
      <c r="K188">
        <v>1</v>
      </c>
      <c r="L188" t="s">
        <v>34</v>
      </c>
      <c r="M188">
        <v>297</v>
      </c>
    </row>
    <row r="189" spans="1:13">
      <c r="A189">
        <f t="shared" ca="1" si="2"/>
        <v>7.486684771855856E-2</v>
      </c>
      <c r="B189">
        <v>188</v>
      </c>
      <c r="C189" t="s">
        <v>8</v>
      </c>
      <c r="D189">
        <v>2</v>
      </c>
      <c r="E189" t="s">
        <v>140</v>
      </c>
      <c r="F189" t="s">
        <v>16</v>
      </c>
      <c r="G189">
        <v>1</v>
      </c>
      <c r="H189">
        <v>2</v>
      </c>
      <c r="I189">
        <v>4</v>
      </c>
      <c r="J189">
        <v>40</v>
      </c>
      <c r="K189">
        <v>9</v>
      </c>
      <c r="L189" t="s">
        <v>19</v>
      </c>
      <c r="M189">
        <v>425</v>
      </c>
    </row>
    <row r="190" spans="1:13">
      <c r="A190">
        <f t="shared" ca="1" si="2"/>
        <v>6.8837220378828223E-2</v>
      </c>
      <c r="B190">
        <v>189</v>
      </c>
      <c r="C190" t="s">
        <v>8</v>
      </c>
      <c r="D190">
        <v>1</v>
      </c>
      <c r="E190" t="s">
        <v>134</v>
      </c>
      <c r="F190" t="s">
        <v>14</v>
      </c>
      <c r="G190">
        <v>1</v>
      </c>
      <c r="H190">
        <v>2</v>
      </c>
      <c r="I190">
        <v>3</v>
      </c>
      <c r="J190">
        <v>55</v>
      </c>
      <c r="K190">
        <v>4</v>
      </c>
      <c r="L190" t="s">
        <v>19</v>
      </c>
      <c r="M190">
        <v>323</v>
      </c>
    </row>
    <row r="191" spans="1:13">
      <c r="A191">
        <f t="shared" ca="1" si="2"/>
        <v>0.39969990154825008</v>
      </c>
      <c r="B191">
        <v>190</v>
      </c>
      <c r="C191" t="s">
        <v>7</v>
      </c>
      <c r="D191">
        <v>2</v>
      </c>
      <c r="E191" t="s">
        <v>140</v>
      </c>
      <c r="F191" t="s">
        <v>14</v>
      </c>
      <c r="G191">
        <v>1</v>
      </c>
      <c r="H191">
        <v>1</v>
      </c>
      <c r="I191">
        <v>1</v>
      </c>
      <c r="J191">
        <v>49</v>
      </c>
      <c r="K191">
        <v>9</v>
      </c>
      <c r="L191" t="s">
        <v>19</v>
      </c>
      <c r="M191">
        <v>67</v>
      </c>
    </row>
    <row r="192" spans="1:13">
      <c r="A192">
        <f t="shared" ca="1" si="2"/>
        <v>0.76576737862667521</v>
      </c>
      <c r="B192">
        <v>191</v>
      </c>
      <c r="C192" t="s">
        <v>8</v>
      </c>
      <c r="D192">
        <v>2</v>
      </c>
      <c r="E192" t="s">
        <v>140</v>
      </c>
      <c r="F192" t="s">
        <v>16</v>
      </c>
      <c r="G192">
        <v>1</v>
      </c>
      <c r="H192">
        <v>2</v>
      </c>
      <c r="I192">
        <v>3</v>
      </c>
      <c r="J192">
        <v>45</v>
      </c>
      <c r="K192">
        <v>9</v>
      </c>
      <c r="L192" t="s">
        <v>19</v>
      </c>
      <c r="M192">
        <v>407</v>
      </c>
    </row>
    <row r="193" spans="1:13">
      <c r="A193">
        <f t="shared" ca="1" si="2"/>
        <v>0.11206614192816144</v>
      </c>
      <c r="B193">
        <v>192</v>
      </c>
      <c r="C193" t="s">
        <v>8</v>
      </c>
      <c r="D193">
        <v>5</v>
      </c>
      <c r="E193" t="s">
        <v>136</v>
      </c>
      <c r="F193" t="s">
        <v>14</v>
      </c>
      <c r="G193">
        <v>1</v>
      </c>
      <c r="H193">
        <v>3</v>
      </c>
      <c r="I193">
        <v>3</v>
      </c>
      <c r="J193">
        <v>43</v>
      </c>
      <c r="K193">
        <v>0</v>
      </c>
      <c r="L193" t="s">
        <v>19</v>
      </c>
      <c r="M193">
        <v>246</v>
      </c>
    </row>
    <row r="194" spans="1:13">
      <c r="A194">
        <f t="shared" ref="A194:A257" ca="1" si="3">RAND()</f>
        <v>0.37469466972560228</v>
      </c>
      <c r="B194">
        <v>193</v>
      </c>
      <c r="C194" t="s">
        <v>8</v>
      </c>
      <c r="D194">
        <v>3</v>
      </c>
      <c r="E194" t="s">
        <v>135</v>
      </c>
      <c r="F194" t="s">
        <v>14</v>
      </c>
      <c r="G194">
        <v>1</v>
      </c>
      <c r="H194">
        <v>1</v>
      </c>
      <c r="I194">
        <v>3</v>
      </c>
      <c r="J194">
        <v>54</v>
      </c>
      <c r="K194">
        <v>5</v>
      </c>
      <c r="L194" t="s">
        <v>31</v>
      </c>
      <c r="M194">
        <v>351</v>
      </c>
    </row>
    <row r="195" spans="1:13">
      <c r="A195">
        <f t="shared" ca="1" si="3"/>
        <v>0.20102734098973174</v>
      </c>
      <c r="B195">
        <v>194</v>
      </c>
      <c r="C195" t="s">
        <v>8</v>
      </c>
      <c r="D195">
        <v>1</v>
      </c>
      <c r="E195" t="s">
        <v>134</v>
      </c>
      <c r="F195" t="s">
        <v>15</v>
      </c>
      <c r="G195">
        <v>1</v>
      </c>
      <c r="H195">
        <v>2</v>
      </c>
      <c r="I195">
        <v>1</v>
      </c>
      <c r="J195">
        <v>60</v>
      </c>
      <c r="K195">
        <v>0</v>
      </c>
      <c r="L195" t="s">
        <v>19</v>
      </c>
      <c r="M195">
        <v>68</v>
      </c>
    </row>
    <row r="196" spans="1:13">
      <c r="A196">
        <f t="shared" ca="1" si="3"/>
        <v>0.26588799271616614</v>
      </c>
      <c r="B196">
        <v>195</v>
      </c>
      <c r="C196" t="s">
        <v>8</v>
      </c>
      <c r="D196">
        <v>2</v>
      </c>
      <c r="E196" t="s">
        <v>140</v>
      </c>
      <c r="F196" t="s">
        <v>14</v>
      </c>
      <c r="G196">
        <v>1</v>
      </c>
      <c r="H196">
        <v>2</v>
      </c>
      <c r="I196">
        <v>2</v>
      </c>
      <c r="J196">
        <v>36</v>
      </c>
      <c r="K196">
        <v>2</v>
      </c>
      <c r="L196" t="s">
        <v>19</v>
      </c>
      <c r="M196">
        <v>219</v>
      </c>
    </row>
    <row r="197" spans="1:13">
      <c r="A197">
        <f t="shared" ca="1" si="3"/>
        <v>0.177991280465296</v>
      </c>
      <c r="B197">
        <v>196</v>
      </c>
      <c r="C197" t="s">
        <v>8</v>
      </c>
      <c r="D197">
        <v>4</v>
      </c>
      <c r="E197" t="s">
        <v>137</v>
      </c>
      <c r="F197" t="s">
        <v>14</v>
      </c>
      <c r="G197">
        <v>1</v>
      </c>
      <c r="H197">
        <v>3</v>
      </c>
      <c r="I197">
        <v>3</v>
      </c>
      <c r="J197">
        <v>44</v>
      </c>
      <c r="K197">
        <v>0</v>
      </c>
      <c r="L197" t="s">
        <v>19</v>
      </c>
      <c r="M197">
        <v>404</v>
      </c>
    </row>
    <row r="198" spans="1:13">
      <c r="A198">
        <f t="shared" ca="1" si="3"/>
        <v>0.91258624316722292</v>
      </c>
      <c r="B198">
        <v>197</v>
      </c>
      <c r="C198" t="s">
        <v>8</v>
      </c>
      <c r="D198">
        <v>1</v>
      </c>
      <c r="E198" t="s">
        <v>134</v>
      </c>
      <c r="F198" t="s">
        <v>12</v>
      </c>
      <c r="G198">
        <v>1</v>
      </c>
      <c r="H198">
        <v>2</v>
      </c>
      <c r="I198">
        <v>5</v>
      </c>
      <c r="J198">
        <v>39</v>
      </c>
      <c r="K198">
        <v>5</v>
      </c>
      <c r="L198" t="s">
        <v>31</v>
      </c>
      <c r="M198">
        <v>481</v>
      </c>
    </row>
    <row r="199" spans="1:13">
      <c r="A199">
        <f t="shared" ca="1" si="3"/>
        <v>0.47165615980241504</v>
      </c>
      <c r="B199">
        <v>198</v>
      </c>
      <c r="C199" t="s">
        <v>8</v>
      </c>
      <c r="D199">
        <v>1</v>
      </c>
      <c r="E199" t="s">
        <v>134</v>
      </c>
      <c r="F199" t="s">
        <v>16</v>
      </c>
      <c r="G199">
        <v>1</v>
      </c>
      <c r="H199">
        <v>2</v>
      </c>
      <c r="I199">
        <v>2</v>
      </c>
      <c r="J199">
        <v>34</v>
      </c>
      <c r="K199">
        <v>2</v>
      </c>
      <c r="L199" t="s">
        <v>19</v>
      </c>
      <c r="M199">
        <v>163</v>
      </c>
    </row>
    <row r="200" spans="1:13">
      <c r="A200">
        <f t="shared" ca="1" si="3"/>
        <v>2.2478542047194128E-2</v>
      </c>
      <c r="B200">
        <v>199</v>
      </c>
      <c r="C200" t="s">
        <v>8</v>
      </c>
      <c r="D200">
        <v>1</v>
      </c>
      <c r="E200" t="s">
        <v>134</v>
      </c>
      <c r="F200" t="s">
        <v>15</v>
      </c>
      <c r="G200">
        <v>1</v>
      </c>
      <c r="H200">
        <v>3</v>
      </c>
      <c r="I200">
        <v>1</v>
      </c>
      <c r="J200">
        <v>31</v>
      </c>
      <c r="K200">
        <v>5</v>
      </c>
      <c r="L200" t="s">
        <v>19</v>
      </c>
      <c r="M200">
        <v>158</v>
      </c>
    </row>
    <row r="201" spans="1:13">
      <c r="A201">
        <f t="shared" ca="1" si="3"/>
        <v>0.84511918915313178</v>
      </c>
      <c r="B201">
        <v>200</v>
      </c>
      <c r="C201" t="s">
        <v>8</v>
      </c>
      <c r="D201">
        <v>2</v>
      </c>
      <c r="E201" t="s">
        <v>140</v>
      </c>
      <c r="F201" t="s">
        <v>14</v>
      </c>
      <c r="G201">
        <v>1</v>
      </c>
      <c r="H201">
        <v>2</v>
      </c>
      <c r="I201">
        <v>2</v>
      </c>
      <c r="J201">
        <v>44</v>
      </c>
      <c r="K201">
        <v>9</v>
      </c>
      <c r="L201" t="s">
        <v>26</v>
      </c>
      <c r="M201">
        <v>181</v>
      </c>
    </row>
    <row r="202" spans="1:13">
      <c r="A202">
        <f t="shared" ca="1" si="3"/>
        <v>0.11037932354415814</v>
      </c>
      <c r="B202">
        <v>201</v>
      </c>
      <c r="C202" t="s">
        <v>7</v>
      </c>
      <c r="D202">
        <v>2</v>
      </c>
      <c r="E202" t="s">
        <v>140</v>
      </c>
      <c r="F202" t="s">
        <v>13</v>
      </c>
      <c r="G202">
        <v>1</v>
      </c>
      <c r="H202">
        <v>2</v>
      </c>
      <c r="I202">
        <v>2</v>
      </c>
      <c r="J202">
        <v>25</v>
      </c>
      <c r="K202">
        <v>0</v>
      </c>
      <c r="L202" t="s">
        <v>31</v>
      </c>
      <c r="M202">
        <v>205</v>
      </c>
    </row>
    <row r="203" spans="1:13">
      <c r="A203">
        <f t="shared" ca="1" si="3"/>
        <v>0.61998794974419025</v>
      </c>
      <c r="B203">
        <v>202</v>
      </c>
      <c r="C203" t="s">
        <v>8</v>
      </c>
      <c r="D203">
        <v>3</v>
      </c>
      <c r="E203" t="s">
        <v>135</v>
      </c>
      <c r="F203" t="s">
        <v>15</v>
      </c>
      <c r="G203">
        <v>1</v>
      </c>
      <c r="H203">
        <v>3</v>
      </c>
      <c r="I203">
        <v>2</v>
      </c>
      <c r="J203">
        <v>40</v>
      </c>
      <c r="K203">
        <v>8</v>
      </c>
      <c r="L203" t="s">
        <v>38</v>
      </c>
      <c r="M203">
        <v>179</v>
      </c>
    </row>
    <row r="204" spans="1:13">
      <c r="A204">
        <f t="shared" ca="1" si="3"/>
        <v>0.34769225169622686</v>
      </c>
      <c r="B204">
        <v>203</v>
      </c>
      <c r="C204" t="s">
        <v>8</v>
      </c>
      <c r="D204">
        <v>1</v>
      </c>
      <c r="E204" t="s">
        <v>134</v>
      </c>
      <c r="F204" t="s">
        <v>14</v>
      </c>
      <c r="G204">
        <v>1</v>
      </c>
      <c r="H204">
        <v>3</v>
      </c>
      <c r="I204">
        <v>1</v>
      </c>
      <c r="J204">
        <v>50</v>
      </c>
      <c r="K204">
        <v>1</v>
      </c>
      <c r="L204" t="s">
        <v>30</v>
      </c>
      <c r="M204">
        <v>137</v>
      </c>
    </row>
    <row r="205" spans="1:13">
      <c r="A205">
        <f t="shared" ca="1" si="3"/>
        <v>0.58004631279802255</v>
      </c>
      <c r="B205">
        <v>204</v>
      </c>
      <c r="C205" t="s">
        <v>8</v>
      </c>
      <c r="D205">
        <v>1</v>
      </c>
      <c r="E205" t="s">
        <v>134</v>
      </c>
      <c r="F205" t="s">
        <v>16</v>
      </c>
      <c r="G205">
        <v>1</v>
      </c>
      <c r="H205">
        <v>1</v>
      </c>
      <c r="I205">
        <v>3</v>
      </c>
      <c r="J205">
        <v>53</v>
      </c>
      <c r="K205">
        <v>0</v>
      </c>
      <c r="L205" t="s">
        <v>19</v>
      </c>
      <c r="M205">
        <v>334</v>
      </c>
    </row>
    <row r="206" spans="1:13">
      <c r="A206">
        <f t="shared" ca="1" si="3"/>
        <v>0.36716383137940545</v>
      </c>
      <c r="B206">
        <v>205</v>
      </c>
      <c r="C206" t="s">
        <v>8</v>
      </c>
      <c r="D206">
        <v>4</v>
      </c>
      <c r="E206" t="s">
        <v>137</v>
      </c>
      <c r="F206" t="s">
        <v>16</v>
      </c>
      <c r="G206">
        <v>1</v>
      </c>
      <c r="H206">
        <v>2</v>
      </c>
      <c r="I206">
        <v>4</v>
      </c>
      <c r="J206">
        <v>46</v>
      </c>
      <c r="K206">
        <v>1</v>
      </c>
      <c r="L206" t="s">
        <v>19</v>
      </c>
      <c r="M206">
        <v>455</v>
      </c>
    </row>
    <row r="207" spans="1:13">
      <c r="A207">
        <f t="shared" ca="1" si="3"/>
        <v>0.86955972812726567</v>
      </c>
      <c r="B207">
        <v>206</v>
      </c>
      <c r="C207" t="s">
        <v>8</v>
      </c>
      <c r="D207">
        <v>3</v>
      </c>
      <c r="E207" t="s">
        <v>135</v>
      </c>
      <c r="F207" t="s">
        <v>12</v>
      </c>
      <c r="G207">
        <v>1</v>
      </c>
      <c r="H207">
        <v>3</v>
      </c>
      <c r="I207">
        <v>2</v>
      </c>
      <c r="J207">
        <v>57</v>
      </c>
      <c r="K207">
        <v>5</v>
      </c>
      <c r="L207" t="s">
        <v>36</v>
      </c>
      <c r="M207">
        <v>235</v>
      </c>
    </row>
    <row r="208" spans="1:13">
      <c r="A208">
        <f t="shared" ca="1" si="3"/>
        <v>0.68277495696147905</v>
      </c>
      <c r="B208">
        <v>207</v>
      </c>
      <c r="C208" t="s">
        <v>8</v>
      </c>
      <c r="D208">
        <v>5</v>
      </c>
      <c r="E208" t="s">
        <v>136</v>
      </c>
      <c r="F208" t="s">
        <v>15</v>
      </c>
      <c r="G208">
        <v>1</v>
      </c>
      <c r="H208">
        <v>2</v>
      </c>
      <c r="I208">
        <v>3</v>
      </c>
      <c r="J208">
        <v>32</v>
      </c>
      <c r="K208">
        <v>0</v>
      </c>
      <c r="L208" t="s">
        <v>19</v>
      </c>
      <c r="M208">
        <v>417</v>
      </c>
    </row>
    <row r="209" spans="1:13">
      <c r="A209">
        <f t="shared" ca="1" si="3"/>
        <v>0.52583425374271997</v>
      </c>
      <c r="B209">
        <v>208</v>
      </c>
      <c r="C209" t="s">
        <v>8</v>
      </c>
      <c r="D209">
        <v>1</v>
      </c>
      <c r="E209" t="s">
        <v>134</v>
      </c>
      <c r="F209" t="s">
        <v>15</v>
      </c>
      <c r="G209">
        <v>1</v>
      </c>
      <c r="H209">
        <v>3</v>
      </c>
      <c r="I209">
        <v>3</v>
      </c>
      <c r="J209">
        <v>57</v>
      </c>
      <c r="K209">
        <v>9</v>
      </c>
      <c r="L209" t="s">
        <v>19</v>
      </c>
      <c r="M209">
        <v>410</v>
      </c>
    </row>
    <row r="210" spans="1:13">
      <c r="A210">
        <f t="shared" ca="1" si="3"/>
        <v>0.50453893408858741</v>
      </c>
      <c r="B210">
        <v>209</v>
      </c>
      <c r="C210" t="s">
        <v>7</v>
      </c>
      <c r="D210">
        <v>1</v>
      </c>
      <c r="E210" t="s">
        <v>134</v>
      </c>
      <c r="F210" t="s">
        <v>14</v>
      </c>
      <c r="G210">
        <v>1</v>
      </c>
      <c r="H210">
        <v>2</v>
      </c>
      <c r="I210">
        <v>1</v>
      </c>
      <c r="J210">
        <v>59</v>
      </c>
      <c r="K210">
        <v>1</v>
      </c>
      <c r="L210" t="s">
        <v>30</v>
      </c>
      <c r="M210">
        <v>116</v>
      </c>
    </row>
    <row r="211" spans="1:13">
      <c r="A211">
        <f t="shared" ca="1" si="3"/>
        <v>0.5712573415517731</v>
      </c>
      <c r="B211">
        <v>210</v>
      </c>
      <c r="C211" t="s">
        <v>7</v>
      </c>
      <c r="D211">
        <v>3</v>
      </c>
      <c r="E211" t="s">
        <v>135</v>
      </c>
      <c r="F211" t="s">
        <v>16</v>
      </c>
      <c r="G211">
        <v>1</v>
      </c>
      <c r="H211">
        <v>2</v>
      </c>
      <c r="I211">
        <v>9</v>
      </c>
      <c r="J211">
        <v>25</v>
      </c>
      <c r="K211">
        <v>9</v>
      </c>
      <c r="L211" t="s">
        <v>19</v>
      </c>
      <c r="M211">
        <v>497</v>
      </c>
    </row>
    <row r="212" spans="1:13">
      <c r="A212">
        <f t="shared" ca="1" si="3"/>
        <v>0.39483014048270271</v>
      </c>
      <c r="B212">
        <v>211</v>
      </c>
      <c r="C212" t="s">
        <v>8</v>
      </c>
      <c r="D212">
        <v>1</v>
      </c>
      <c r="E212" t="s">
        <v>134</v>
      </c>
      <c r="F212" t="s">
        <v>14</v>
      </c>
      <c r="G212">
        <v>1</v>
      </c>
      <c r="H212">
        <v>3</v>
      </c>
      <c r="I212">
        <v>5</v>
      </c>
      <c r="J212">
        <v>53</v>
      </c>
      <c r="K212">
        <v>7</v>
      </c>
      <c r="L212" t="s">
        <v>19</v>
      </c>
      <c r="M212">
        <v>471</v>
      </c>
    </row>
    <row r="213" spans="1:13">
      <c r="A213">
        <f t="shared" ca="1" si="3"/>
        <v>0.5764630050184868</v>
      </c>
      <c r="B213">
        <v>212</v>
      </c>
      <c r="C213" t="s">
        <v>8</v>
      </c>
      <c r="D213">
        <v>2</v>
      </c>
      <c r="E213" t="s">
        <v>140</v>
      </c>
      <c r="F213" t="s">
        <v>16</v>
      </c>
      <c r="G213">
        <v>1</v>
      </c>
      <c r="H213">
        <v>3</v>
      </c>
      <c r="I213">
        <v>2</v>
      </c>
      <c r="J213">
        <v>41</v>
      </c>
      <c r="K213">
        <v>0</v>
      </c>
      <c r="L213" t="s">
        <v>19</v>
      </c>
      <c r="M213">
        <v>226</v>
      </c>
    </row>
    <row r="214" spans="1:13">
      <c r="A214">
        <f t="shared" ca="1" si="3"/>
        <v>1.1675645045915783E-2</v>
      </c>
      <c r="B214">
        <v>213</v>
      </c>
      <c r="C214" t="s">
        <v>7</v>
      </c>
      <c r="D214">
        <v>5</v>
      </c>
      <c r="E214" t="s">
        <v>136</v>
      </c>
      <c r="F214" t="s">
        <v>13</v>
      </c>
      <c r="G214">
        <v>1</v>
      </c>
      <c r="H214">
        <v>2</v>
      </c>
      <c r="I214">
        <v>1</v>
      </c>
      <c r="J214">
        <v>40</v>
      </c>
      <c r="K214">
        <v>2</v>
      </c>
      <c r="L214" t="s">
        <v>19</v>
      </c>
      <c r="M214">
        <v>119</v>
      </c>
    </row>
    <row r="215" spans="1:13">
      <c r="A215">
        <f t="shared" ca="1" si="3"/>
        <v>0.1545029034833536</v>
      </c>
      <c r="B215">
        <v>214</v>
      </c>
      <c r="C215" t="s">
        <v>7</v>
      </c>
      <c r="D215">
        <v>1</v>
      </c>
      <c r="E215" t="s">
        <v>134</v>
      </c>
      <c r="F215" t="s">
        <v>16</v>
      </c>
      <c r="G215">
        <v>1</v>
      </c>
      <c r="H215">
        <v>3</v>
      </c>
      <c r="I215">
        <v>5</v>
      </c>
      <c r="J215">
        <v>60</v>
      </c>
      <c r="K215">
        <v>0</v>
      </c>
      <c r="L215" t="s">
        <v>31</v>
      </c>
      <c r="M215">
        <v>482</v>
      </c>
    </row>
    <row r="216" spans="1:13">
      <c r="A216">
        <f t="shared" ca="1" si="3"/>
        <v>0.81634517692626474</v>
      </c>
      <c r="B216">
        <v>215</v>
      </c>
      <c r="C216" t="s">
        <v>8</v>
      </c>
      <c r="D216">
        <v>4</v>
      </c>
      <c r="E216" t="s">
        <v>137</v>
      </c>
      <c r="F216" t="s">
        <v>14</v>
      </c>
      <c r="G216">
        <v>1</v>
      </c>
      <c r="H216">
        <v>2</v>
      </c>
      <c r="I216">
        <v>1</v>
      </c>
      <c r="J216">
        <v>41</v>
      </c>
      <c r="K216">
        <v>9</v>
      </c>
      <c r="L216" t="s">
        <v>19</v>
      </c>
      <c r="M216">
        <v>126</v>
      </c>
    </row>
    <row r="217" spans="1:13">
      <c r="A217">
        <f t="shared" ca="1" si="3"/>
        <v>0.14219028555250612</v>
      </c>
      <c r="B217">
        <v>216</v>
      </c>
      <c r="C217" t="s">
        <v>8</v>
      </c>
      <c r="D217">
        <v>2</v>
      </c>
      <c r="E217" t="s">
        <v>140</v>
      </c>
      <c r="F217" t="s">
        <v>14</v>
      </c>
      <c r="G217">
        <v>1</v>
      </c>
      <c r="H217">
        <v>2</v>
      </c>
      <c r="I217">
        <v>2</v>
      </c>
      <c r="J217">
        <v>36</v>
      </c>
      <c r="K217">
        <v>9</v>
      </c>
      <c r="L217" t="s">
        <v>31</v>
      </c>
      <c r="M217">
        <v>165</v>
      </c>
    </row>
    <row r="218" spans="1:13">
      <c r="A218">
        <f t="shared" ca="1" si="3"/>
        <v>0.26803158007664096</v>
      </c>
      <c r="B218">
        <v>217</v>
      </c>
      <c r="C218" t="s">
        <v>7</v>
      </c>
      <c r="D218">
        <v>1</v>
      </c>
      <c r="E218" t="s">
        <v>134</v>
      </c>
      <c r="F218" t="s">
        <v>16</v>
      </c>
      <c r="G218">
        <v>1</v>
      </c>
      <c r="H218">
        <v>3</v>
      </c>
      <c r="I218">
        <v>4</v>
      </c>
      <c r="J218">
        <v>41</v>
      </c>
      <c r="K218">
        <v>6</v>
      </c>
      <c r="L218" t="s">
        <v>19</v>
      </c>
      <c r="M218">
        <v>428</v>
      </c>
    </row>
    <row r="219" spans="1:13">
      <c r="A219">
        <f t="shared" ca="1" si="3"/>
        <v>4.2842615668823303E-2</v>
      </c>
      <c r="B219">
        <v>218</v>
      </c>
      <c r="C219" t="s">
        <v>8</v>
      </c>
      <c r="D219">
        <v>2</v>
      </c>
      <c r="E219" t="s">
        <v>140</v>
      </c>
      <c r="F219" t="s">
        <v>16</v>
      </c>
      <c r="G219">
        <v>1</v>
      </c>
      <c r="H219">
        <v>3</v>
      </c>
      <c r="I219">
        <v>3</v>
      </c>
      <c r="J219">
        <v>57</v>
      </c>
      <c r="K219">
        <v>7</v>
      </c>
      <c r="L219" t="s">
        <v>19</v>
      </c>
      <c r="M219">
        <v>378</v>
      </c>
    </row>
    <row r="220" spans="1:13">
      <c r="A220">
        <f t="shared" ca="1" si="3"/>
        <v>0.45472675043717514</v>
      </c>
      <c r="B220">
        <v>219</v>
      </c>
      <c r="C220" t="s">
        <v>8</v>
      </c>
      <c r="D220">
        <v>4</v>
      </c>
      <c r="E220" t="s">
        <v>137</v>
      </c>
      <c r="F220" t="s">
        <v>14</v>
      </c>
      <c r="G220">
        <v>1</v>
      </c>
      <c r="H220">
        <v>3</v>
      </c>
      <c r="I220">
        <v>3</v>
      </c>
      <c r="J220">
        <v>41</v>
      </c>
      <c r="K220">
        <v>0</v>
      </c>
      <c r="L220" t="s">
        <v>19</v>
      </c>
      <c r="M220">
        <v>295</v>
      </c>
    </row>
    <row r="221" spans="1:13">
      <c r="A221">
        <f t="shared" ca="1" si="3"/>
        <v>0.41544772198708735</v>
      </c>
      <c r="B221">
        <v>220</v>
      </c>
      <c r="C221" t="s">
        <v>8</v>
      </c>
      <c r="D221">
        <v>2</v>
      </c>
      <c r="E221" t="s">
        <v>140</v>
      </c>
      <c r="F221" t="s">
        <v>16</v>
      </c>
      <c r="G221">
        <v>1</v>
      </c>
      <c r="H221">
        <v>2</v>
      </c>
      <c r="I221">
        <v>1</v>
      </c>
      <c r="J221">
        <v>38</v>
      </c>
      <c r="K221">
        <v>9</v>
      </c>
      <c r="L221" t="s">
        <v>30</v>
      </c>
      <c r="M221">
        <v>65</v>
      </c>
    </row>
    <row r="222" spans="1:13">
      <c r="A222">
        <f t="shared" ca="1" si="3"/>
        <v>0.60360065087695958</v>
      </c>
      <c r="B222">
        <v>221</v>
      </c>
      <c r="C222" t="s">
        <v>8</v>
      </c>
      <c r="D222">
        <v>2</v>
      </c>
      <c r="E222" t="s">
        <v>140</v>
      </c>
      <c r="F222" t="s">
        <v>17</v>
      </c>
      <c r="G222">
        <v>1</v>
      </c>
      <c r="H222">
        <v>2</v>
      </c>
      <c r="I222">
        <v>4</v>
      </c>
      <c r="J222">
        <v>38</v>
      </c>
      <c r="K222">
        <v>0</v>
      </c>
      <c r="L222" t="s">
        <v>19</v>
      </c>
      <c r="M222">
        <v>459</v>
      </c>
    </row>
    <row r="223" spans="1:13">
      <c r="A223">
        <f t="shared" ca="1" si="3"/>
        <v>0.46600753970521236</v>
      </c>
      <c r="B223">
        <v>222</v>
      </c>
      <c r="C223" t="s">
        <v>8</v>
      </c>
      <c r="D223">
        <v>6</v>
      </c>
      <c r="E223" t="s">
        <v>139</v>
      </c>
      <c r="F223" t="s">
        <v>17</v>
      </c>
      <c r="G223">
        <v>1</v>
      </c>
      <c r="H223">
        <v>2</v>
      </c>
      <c r="I223">
        <v>3</v>
      </c>
      <c r="J223">
        <v>40</v>
      </c>
      <c r="K223">
        <v>8</v>
      </c>
      <c r="L223" t="s">
        <v>19</v>
      </c>
      <c r="M223">
        <v>367</v>
      </c>
    </row>
    <row r="224" spans="1:13">
      <c r="A224">
        <f t="shared" ca="1" si="3"/>
        <v>0.10778824392461328</v>
      </c>
      <c r="B224">
        <v>223</v>
      </c>
      <c r="C224" t="s">
        <v>8</v>
      </c>
      <c r="D224">
        <v>2</v>
      </c>
      <c r="E224" t="s">
        <v>140</v>
      </c>
      <c r="F224" t="s">
        <v>16</v>
      </c>
      <c r="G224">
        <v>1</v>
      </c>
      <c r="H224">
        <v>2</v>
      </c>
      <c r="I224">
        <v>1</v>
      </c>
      <c r="J224">
        <v>44</v>
      </c>
      <c r="K224">
        <v>9</v>
      </c>
      <c r="L224" t="s">
        <v>19</v>
      </c>
      <c r="M224">
        <v>140</v>
      </c>
    </row>
    <row r="225" spans="1:13">
      <c r="A225">
        <f t="shared" ca="1" si="3"/>
        <v>0.52929145604875771</v>
      </c>
      <c r="B225">
        <v>224</v>
      </c>
      <c r="C225" t="s">
        <v>8</v>
      </c>
      <c r="D225">
        <v>4</v>
      </c>
      <c r="E225" t="s">
        <v>137</v>
      </c>
      <c r="F225" t="s">
        <v>15</v>
      </c>
      <c r="G225">
        <v>1</v>
      </c>
      <c r="H225">
        <v>3</v>
      </c>
      <c r="I225">
        <v>5</v>
      </c>
      <c r="J225">
        <v>34</v>
      </c>
      <c r="K225">
        <v>9</v>
      </c>
      <c r="L225" t="s">
        <v>30</v>
      </c>
      <c r="M225">
        <v>470</v>
      </c>
    </row>
    <row r="226" spans="1:13">
      <c r="A226">
        <f t="shared" ca="1" si="3"/>
        <v>0.74646472259491725</v>
      </c>
      <c r="B226">
        <v>225</v>
      </c>
      <c r="C226" t="s">
        <v>8</v>
      </c>
      <c r="D226">
        <v>2</v>
      </c>
      <c r="E226" t="s">
        <v>140</v>
      </c>
      <c r="F226" t="s">
        <v>16</v>
      </c>
      <c r="G226">
        <v>1</v>
      </c>
      <c r="H226">
        <v>1</v>
      </c>
      <c r="I226">
        <v>1</v>
      </c>
      <c r="J226">
        <v>46</v>
      </c>
      <c r="K226">
        <v>6</v>
      </c>
      <c r="L226" t="s">
        <v>23</v>
      </c>
      <c r="M226">
        <v>129</v>
      </c>
    </row>
    <row r="227" spans="1:13">
      <c r="A227">
        <f t="shared" ca="1" si="3"/>
        <v>0.86240060377441774</v>
      </c>
      <c r="B227">
        <v>226</v>
      </c>
      <c r="C227" t="s">
        <v>8</v>
      </c>
      <c r="D227">
        <v>1</v>
      </c>
      <c r="E227" t="s">
        <v>134</v>
      </c>
      <c r="F227" t="s">
        <v>16</v>
      </c>
      <c r="G227">
        <v>1</v>
      </c>
      <c r="H227">
        <v>3</v>
      </c>
      <c r="I227">
        <v>3</v>
      </c>
      <c r="J227">
        <v>55</v>
      </c>
      <c r="K227">
        <v>6</v>
      </c>
      <c r="L227" t="s">
        <v>19</v>
      </c>
      <c r="M227">
        <v>248</v>
      </c>
    </row>
    <row r="228" spans="1:13">
      <c r="A228">
        <f t="shared" ca="1" si="3"/>
        <v>0.99153174344635786</v>
      </c>
      <c r="B228">
        <v>227</v>
      </c>
      <c r="C228" t="s">
        <v>8</v>
      </c>
      <c r="D228">
        <v>3</v>
      </c>
      <c r="E228" t="s">
        <v>135</v>
      </c>
      <c r="F228" t="s">
        <v>16</v>
      </c>
      <c r="G228">
        <v>1</v>
      </c>
      <c r="H228">
        <v>2</v>
      </c>
      <c r="I228">
        <v>3</v>
      </c>
      <c r="J228">
        <v>51</v>
      </c>
      <c r="K228">
        <v>9</v>
      </c>
      <c r="L228" t="s">
        <v>19</v>
      </c>
      <c r="M228">
        <v>337</v>
      </c>
    </row>
    <row r="229" spans="1:13">
      <c r="A229">
        <f t="shared" ca="1" si="3"/>
        <v>0.89019127018405741</v>
      </c>
      <c r="B229">
        <v>228</v>
      </c>
      <c r="C229" t="s">
        <v>8</v>
      </c>
      <c r="D229">
        <v>3</v>
      </c>
      <c r="E229" t="s">
        <v>135</v>
      </c>
      <c r="F229" t="s">
        <v>15</v>
      </c>
      <c r="G229">
        <v>1</v>
      </c>
      <c r="H229">
        <v>3</v>
      </c>
      <c r="I229">
        <v>3</v>
      </c>
      <c r="J229">
        <v>42</v>
      </c>
      <c r="K229">
        <v>4</v>
      </c>
      <c r="L229" t="s">
        <v>19</v>
      </c>
      <c r="M229">
        <v>389</v>
      </c>
    </row>
    <row r="230" spans="1:13">
      <c r="A230">
        <f t="shared" ca="1" si="3"/>
        <v>0.31035903628310935</v>
      </c>
      <c r="B230">
        <v>229</v>
      </c>
      <c r="C230" t="s">
        <v>8</v>
      </c>
      <c r="D230">
        <v>4</v>
      </c>
      <c r="E230" t="s">
        <v>137</v>
      </c>
      <c r="F230" t="s">
        <v>15</v>
      </c>
      <c r="G230">
        <v>1</v>
      </c>
      <c r="H230">
        <v>2</v>
      </c>
      <c r="I230">
        <v>4</v>
      </c>
      <c r="J230">
        <v>34</v>
      </c>
      <c r="K230">
        <v>4</v>
      </c>
      <c r="L230" t="s">
        <v>19</v>
      </c>
      <c r="M230">
        <v>440</v>
      </c>
    </row>
    <row r="231" spans="1:13">
      <c r="A231">
        <f t="shared" ca="1" si="3"/>
        <v>0.13726709152332517</v>
      </c>
      <c r="B231">
        <v>230</v>
      </c>
      <c r="C231" t="s">
        <v>8</v>
      </c>
      <c r="D231">
        <v>1</v>
      </c>
      <c r="E231" t="s">
        <v>134</v>
      </c>
      <c r="F231" t="s">
        <v>14</v>
      </c>
      <c r="G231">
        <v>1</v>
      </c>
      <c r="H231">
        <v>2</v>
      </c>
      <c r="I231">
        <v>3</v>
      </c>
      <c r="J231">
        <v>44</v>
      </c>
      <c r="K231">
        <v>1</v>
      </c>
      <c r="L231" t="s">
        <v>19</v>
      </c>
      <c r="M231">
        <v>381</v>
      </c>
    </row>
    <row r="232" spans="1:13">
      <c r="A232">
        <f t="shared" ca="1" si="3"/>
        <v>0.6735166355116694</v>
      </c>
      <c r="B232">
        <v>231</v>
      </c>
      <c r="C232" t="s">
        <v>8</v>
      </c>
      <c r="D232">
        <v>4</v>
      </c>
      <c r="E232" t="s">
        <v>137</v>
      </c>
      <c r="F232" t="s">
        <v>12</v>
      </c>
      <c r="G232">
        <v>1</v>
      </c>
      <c r="H232">
        <v>2</v>
      </c>
      <c r="I232">
        <v>3</v>
      </c>
      <c r="J232">
        <v>34</v>
      </c>
      <c r="K232">
        <v>4</v>
      </c>
      <c r="L232" t="s">
        <v>31</v>
      </c>
      <c r="M232">
        <v>302</v>
      </c>
    </row>
    <row r="233" spans="1:13">
      <c r="A233">
        <f t="shared" ca="1" si="3"/>
        <v>0.21153724995676948</v>
      </c>
      <c r="B233">
        <v>232</v>
      </c>
      <c r="C233" t="s">
        <v>8</v>
      </c>
      <c r="D233">
        <v>1</v>
      </c>
      <c r="E233" t="s">
        <v>134</v>
      </c>
      <c r="F233" t="s">
        <v>14</v>
      </c>
      <c r="G233">
        <v>1</v>
      </c>
      <c r="H233">
        <v>2</v>
      </c>
      <c r="I233">
        <v>3</v>
      </c>
      <c r="J233">
        <v>37</v>
      </c>
      <c r="K233">
        <v>5</v>
      </c>
      <c r="L233" t="s">
        <v>21</v>
      </c>
      <c r="M233">
        <v>377</v>
      </c>
    </row>
    <row r="234" spans="1:13">
      <c r="A234">
        <f t="shared" ca="1" si="3"/>
        <v>0.94536499275668306</v>
      </c>
      <c r="B234">
        <v>233</v>
      </c>
      <c r="C234" t="s">
        <v>7</v>
      </c>
      <c r="D234">
        <v>1</v>
      </c>
      <c r="E234" t="s">
        <v>134</v>
      </c>
      <c r="F234" t="s">
        <v>17</v>
      </c>
      <c r="G234">
        <v>0.8</v>
      </c>
      <c r="H234">
        <v>2</v>
      </c>
      <c r="I234">
        <v>3</v>
      </c>
      <c r="J234">
        <v>44</v>
      </c>
      <c r="K234">
        <v>0</v>
      </c>
      <c r="L234" t="s">
        <v>19</v>
      </c>
      <c r="M234">
        <v>258</v>
      </c>
    </row>
    <row r="235" spans="1:13">
      <c r="A235">
        <f t="shared" ca="1" si="3"/>
        <v>0.75452138912131395</v>
      </c>
      <c r="B235">
        <v>234</v>
      </c>
      <c r="C235" t="s">
        <v>7</v>
      </c>
      <c r="D235">
        <v>2</v>
      </c>
      <c r="E235" t="s">
        <v>140</v>
      </c>
      <c r="F235" t="s">
        <v>14</v>
      </c>
      <c r="G235">
        <v>1</v>
      </c>
      <c r="H235">
        <v>2</v>
      </c>
      <c r="I235">
        <v>1</v>
      </c>
      <c r="J235">
        <v>47</v>
      </c>
      <c r="K235">
        <v>8</v>
      </c>
      <c r="L235" t="s">
        <v>30</v>
      </c>
      <c r="M235">
        <v>91</v>
      </c>
    </row>
    <row r="236" spans="1:13">
      <c r="A236">
        <f t="shared" ca="1" si="3"/>
        <v>0.98158426408720678</v>
      </c>
      <c r="B236">
        <v>235</v>
      </c>
      <c r="C236" t="s">
        <v>8</v>
      </c>
      <c r="D236">
        <v>3</v>
      </c>
      <c r="E236" t="s">
        <v>135</v>
      </c>
      <c r="F236" t="s">
        <v>15</v>
      </c>
      <c r="G236">
        <v>1</v>
      </c>
      <c r="H236">
        <v>2</v>
      </c>
      <c r="I236">
        <v>3</v>
      </c>
      <c r="J236">
        <v>48</v>
      </c>
      <c r="K236">
        <v>6</v>
      </c>
      <c r="L236" t="s">
        <v>19</v>
      </c>
      <c r="M236">
        <v>393</v>
      </c>
    </row>
    <row r="237" spans="1:13">
      <c r="A237">
        <f t="shared" ca="1" si="3"/>
        <v>0.58651856696468152</v>
      </c>
      <c r="B237">
        <v>236</v>
      </c>
      <c r="C237" t="s">
        <v>7</v>
      </c>
      <c r="D237">
        <v>1</v>
      </c>
      <c r="E237" t="s">
        <v>134</v>
      </c>
      <c r="F237" t="s">
        <v>16</v>
      </c>
      <c r="G237">
        <v>1</v>
      </c>
      <c r="H237">
        <v>3</v>
      </c>
      <c r="I237">
        <v>3</v>
      </c>
      <c r="J237">
        <v>46</v>
      </c>
      <c r="K237">
        <v>4</v>
      </c>
      <c r="L237" t="s">
        <v>19</v>
      </c>
      <c r="M237">
        <v>360</v>
      </c>
    </row>
    <row r="238" spans="1:13">
      <c r="A238">
        <f t="shared" ca="1" si="3"/>
        <v>0.47453894008621633</v>
      </c>
      <c r="B238">
        <v>237</v>
      </c>
      <c r="C238" t="s">
        <v>8</v>
      </c>
      <c r="D238">
        <v>2</v>
      </c>
      <c r="E238" t="s">
        <v>140</v>
      </c>
      <c r="F238" t="s">
        <v>14</v>
      </c>
      <c r="G238">
        <v>1</v>
      </c>
      <c r="H238">
        <v>3</v>
      </c>
      <c r="I238">
        <v>0</v>
      </c>
      <c r="J238">
        <v>33</v>
      </c>
      <c r="K238">
        <v>5</v>
      </c>
      <c r="L238" t="s">
        <v>19</v>
      </c>
      <c r="M238">
        <v>16</v>
      </c>
    </row>
    <row r="239" spans="1:13">
      <c r="A239">
        <f t="shared" ca="1" si="3"/>
        <v>0.82911233018524155</v>
      </c>
      <c r="B239">
        <v>238</v>
      </c>
      <c r="C239" t="s">
        <v>7</v>
      </c>
      <c r="D239">
        <v>1</v>
      </c>
      <c r="E239" t="s">
        <v>134</v>
      </c>
      <c r="F239" t="s">
        <v>14</v>
      </c>
      <c r="G239">
        <v>1</v>
      </c>
      <c r="H239">
        <v>2</v>
      </c>
      <c r="I239">
        <v>3</v>
      </c>
      <c r="J239">
        <v>46</v>
      </c>
      <c r="K239">
        <v>0</v>
      </c>
      <c r="L239" t="s">
        <v>31</v>
      </c>
      <c r="M239">
        <v>390</v>
      </c>
    </row>
    <row r="240" spans="1:13">
      <c r="A240">
        <f t="shared" ca="1" si="3"/>
        <v>0.54970655656808398</v>
      </c>
      <c r="B240">
        <v>239</v>
      </c>
      <c r="C240" t="s">
        <v>8</v>
      </c>
      <c r="D240">
        <v>3</v>
      </c>
      <c r="E240" t="s">
        <v>135</v>
      </c>
      <c r="F240" t="s">
        <v>16</v>
      </c>
      <c r="G240">
        <v>1</v>
      </c>
      <c r="H240">
        <v>3</v>
      </c>
      <c r="I240">
        <v>2</v>
      </c>
      <c r="J240">
        <v>31</v>
      </c>
      <c r="K240">
        <v>6</v>
      </c>
      <c r="L240" t="s">
        <v>26</v>
      </c>
      <c r="M240">
        <v>236</v>
      </c>
    </row>
    <row r="241" spans="1:13">
      <c r="A241">
        <f t="shared" ca="1" si="3"/>
        <v>0.17179170642125974</v>
      </c>
      <c r="B241">
        <v>240</v>
      </c>
      <c r="C241" t="s">
        <v>8</v>
      </c>
      <c r="D241">
        <v>1</v>
      </c>
      <c r="E241" t="s">
        <v>134</v>
      </c>
      <c r="F241" t="s">
        <v>14</v>
      </c>
      <c r="G241">
        <v>1</v>
      </c>
      <c r="H241">
        <v>2</v>
      </c>
      <c r="I241">
        <v>5</v>
      </c>
      <c r="J241">
        <v>29</v>
      </c>
      <c r="K241">
        <v>9</v>
      </c>
      <c r="L241" t="s">
        <v>26</v>
      </c>
      <c r="M241">
        <v>462</v>
      </c>
    </row>
    <row r="242" spans="1:13">
      <c r="A242">
        <f t="shared" ca="1" si="3"/>
        <v>0.77879572532144992</v>
      </c>
      <c r="B242">
        <v>241</v>
      </c>
      <c r="C242" t="s">
        <v>7</v>
      </c>
      <c r="D242">
        <v>3</v>
      </c>
      <c r="E242" t="s">
        <v>135</v>
      </c>
      <c r="F242" t="s">
        <v>15</v>
      </c>
      <c r="G242">
        <v>1</v>
      </c>
      <c r="H242">
        <v>2</v>
      </c>
      <c r="I242">
        <v>1</v>
      </c>
      <c r="J242">
        <v>56</v>
      </c>
      <c r="K242">
        <v>2</v>
      </c>
      <c r="L242" t="s">
        <v>19</v>
      </c>
      <c r="M242">
        <v>77</v>
      </c>
    </row>
    <row r="243" spans="1:13">
      <c r="A243">
        <f t="shared" ca="1" si="3"/>
        <v>0.43258241674200271</v>
      </c>
      <c r="B243">
        <v>242</v>
      </c>
      <c r="C243" t="s">
        <v>8</v>
      </c>
      <c r="D243">
        <v>2</v>
      </c>
      <c r="E243" t="s">
        <v>140</v>
      </c>
      <c r="F243" t="s">
        <v>15</v>
      </c>
      <c r="G243">
        <v>1</v>
      </c>
      <c r="H243">
        <v>2</v>
      </c>
      <c r="I243">
        <v>1</v>
      </c>
      <c r="J243">
        <v>37</v>
      </c>
      <c r="K243">
        <v>2</v>
      </c>
      <c r="L243" t="s">
        <v>31</v>
      </c>
      <c r="M243">
        <v>51</v>
      </c>
    </row>
    <row r="244" spans="1:13">
      <c r="A244">
        <f t="shared" ca="1" si="3"/>
        <v>0.18745449275020265</v>
      </c>
      <c r="B244">
        <v>243</v>
      </c>
      <c r="C244" t="s">
        <v>8</v>
      </c>
      <c r="D244">
        <v>5</v>
      </c>
      <c r="E244" t="s">
        <v>136</v>
      </c>
      <c r="F244" t="s">
        <v>14</v>
      </c>
      <c r="G244">
        <v>1</v>
      </c>
      <c r="H244">
        <v>2</v>
      </c>
      <c r="I244">
        <v>3</v>
      </c>
      <c r="J244">
        <v>36</v>
      </c>
      <c r="K244">
        <v>8</v>
      </c>
      <c r="L244" t="s">
        <v>19</v>
      </c>
      <c r="M244">
        <v>322</v>
      </c>
    </row>
    <row r="245" spans="1:13">
      <c r="A245">
        <f t="shared" ca="1" si="3"/>
        <v>0.29833668832751714</v>
      </c>
      <c r="B245">
        <v>244</v>
      </c>
      <c r="C245" t="s">
        <v>8</v>
      </c>
      <c r="D245">
        <v>4</v>
      </c>
      <c r="E245" t="s">
        <v>137</v>
      </c>
      <c r="F245" t="s">
        <v>16</v>
      </c>
      <c r="G245">
        <v>1</v>
      </c>
      <c r="H245">
        <v>3</v>
      </c>
      <c r="I245">
        <v>3</v>
      </c>
      <c r="J245">
        <v>43</v>
      </c>
      <c r="K245">
        <v>9</v>
      </c>
      <c r="L245" t="s">
        <v>36</v>
      </c>
      <c r="M245">
        <v>315</v>
      </c>
    </row>
    <row r="246" spans="1:13">
      <c r="A246">
        <f t="shared" ca="1" si="3"/>
        <v>0.27091816614241804</v>
      </c>
      <c r="B246">
        <v>245</v>
      </c>
      <c r="C246" t="s">
        <v>7</v>
      </c>
      <c r="D246">
        <v>2</v>
      </c>
      <c r="E246" t="s">
        <v>140</v>
      </c>
      <c r="F246" t="s">
        <v>14</v>
      </c>
      <c r="G246">
        <v>0.7</v>
      </c>
      <c r="H246">
        <v>3</v>
      </c>
      <c r="I246">
        <v>3</v>
      </c>
      <c r="J246">
        <v>44</v>
      </c>
      <c r="K246">
        <v>4</v>
      </c>
      <c r="L246" t="s">
        <v>19</v>
      </c>
      <c r="M246">
        <v>413</v>
      </c>
    </row>
    <row r="247" spans="1:13">
      <c r="A247">
        <f t="shared" ca="1" si="3"/>
        <v>0.87527916282402507</v>
      </c>
      <c r="B247">
        <v>246</v>
      </c>
      <c r="C247" t="s">
        <v>8</v>
      </c>
      <c r="D247">
        <v>1</v>
      </c>
      <c r="E247" t="s">
        <v>134</v>
      </c>
      <c r="F247" t="s">
        <v>16</v>
      </c>
      <c r="G247">
        <v>1</v>
      </c>
      <c r="H247">
        <v>2</v>
      </c>
      <c r="I247">
        <v>3</v>
      </c>
      <c r="J247">
        <v>55</v>
      </c>
      <c r="K247">
        <v>7</v>
      </c>
      <c r="L247" t="s">
        <v>19</v>
      </c>
      <c r="M247">
        <v>253</v>
      </c>
    </row>
    <row r="248" spans="1:13">
      <c r="A248">
        <f t="shared" ca="1" si="3"/>
        <v>0.41324027194315371</v>
      </c>
      <c r="B248">
        <v>247</v>
      </c>
      <c r="C248" t="s">
        <v>8</v>
      </c>
      <c r="D248">
        <v>1</v>
      </c>
      <c r="E248" t="s">
        <v>134</v>
      </c>
      <c r="F248" t="s">
        <v>14</v>
      </c>
      <c r="G248">
        <v>1</v>
      </c>
      <c r="H248">
        <v>2</v>
      </c>
      <c r="I248">
        <v>2</v>
      </c>
      <c r="J248">
        <v>42</v>
      </c>
      <c r="K248">
        <v>5</v>
      </c>
      <c r="L248" t="s">
        <v>19</v>
      </c>
      <c r="M248">
        <v>231</v>
      </c>
    </row>
    <row r="249" spans="1:13">
      <c r="A249">
        <f t="shared" ca="1" si="3"/>
        <v>0.97052645141697513</v>
      </c>
      <c r="B249">
        <v>248</v>
      </c>
      <c r="C249" t="s">
        <v>8</v>
      </c>
      <c r="D249">
        <v>3</v>
      </c>
      <c r="E249" t="s">
        <v>135</v>
      </c>
      <c r="F249" t="s">
        <v>14</v>
      </c>
      <c r="G249">
        <v>1</v>
      </c>
      <c r="H249">
        <v>3</v>
      </c>
      <c r="I249">
        <v>3</v>
      </c>
      <c r="J249">
        <v>39</v>
      </c>
      <c r="K249">
        <v>8</v>
      </c>
      <c r="L249" t="s">
        <v>21</v>
      </c>
      <c r="M249">
        <v>406</v>
      </c>
    </row>
    <row r="250" spans="1:13">
      <c r="A250">
        <f t="shared" ca="1" si="3"/>
        <v>0.67124907018810209</v>
      </c>
      <c r="B250">
        <v>249</v>
      </c>
      <c r="C250" t="s">
        <v>8</v>
      </c>
      <c r="D250">
        <v>1</v>
      </c>
      <c r="E250" t="s">
        <v>134</v>
      </c>
      <c r="F250" t="s">
        <v>14</v>
      </c>
      <c r="G250">
        <v>1</v>
      </c>
      <c r="H250">
        <v>2</v>
      </c>
      <c r="I250">
        <v>3</v>
      </c>
      <c r="J250">
        <v>35</v>
      </c>
      <c r="K250">
        <v>6</v>
      </c>
      <c r="L250" t="s">
        <v>19</v>
      </c>
      <c r="M250">
        <v>347</v>
      </c>
    </row>
    <row r="251" spans="1:13">
      <c r="A251">
        <f t="shared" ca="1" si="3"/>
        <v>0.5940120350672603</v>
      </c>
      <c r="B251">
        <v>250</v>
      </c>
      <c r="C251" t="s">
        <v>8</v>
      </c>
      <c r="D251">
        <v>1</v>
      </c>
      <c r="E251" t="s">
        <v>134</v>
      </c>
      <c r="F251" t="s">
        <v>14</v>
      </c>
      <c r="G251">
        <v>1</v>
      </c>
      <c r="H251">
        <v>2</v>
      </c>
      <c r="I251">
        <v>5</v>
      </c>
      <c r="J251">
        <v>55</v>
      </c>
      <c r="K251">
        <v>9</v>
      </c>
      <c r="L251" t="s">
        <v>19</v>
      </c>
      <c r="M251">
        <v>468</v>
      </c>
    </row>
    <row r="252" spans="1:13">
      <c r="A252">
        <f t="shared" ca="1" si="3"/>
        <v>0.40864613480507384</v>
      </c>
      <c r="B252">
        <v>251</v>
      </c>
      <c r="C252" t="s">
        <v>8</v>
      </c>
      <c r="D252">
        <v>2</v>
      </c>
      <c r="E252" t="s">
        <v>140</v>
      </c>
      <c r="F252" t="s">
        <v>16</v>
      </c>
      <c r="G252">
        <v>1</v>
      </c>
      <c r="H252">
        <v>3</v>
      </c>
      <c r="I252">
        <v>1</v>
      </c>
      <c r="J252">
        <v>54</v>
      </c>
      <c r="K252">
        <v>4</v>
      </c>
      <c r="L252" t="s">
        <v>19</v>
      </c>
      <c r="M252">
        <v>64</v>
      </c>
    </row>
    <row r="253" spans="1:13">
      <c r="A253">
        <f t="shared" ca="1" si="3"/>
        <v>0.14751574269100254</v>
      </c>
      <c r="B253">
        <v>252</v>
      </c>
      <c r="C253" t="s">
        <v>8</v>
      </c>
      <c r="D253">
        <v>1</v>
      </c>
      <c r="E253" t="s">
        <v>134</v>
      </c>
      <c r="F253" t="s">
        <v>14</v>
      </c>
      <c r="G253">
        <v>1</v>
      </c>
      <c r="H253">
        <v>2</v>
      </c>
      <c r="I253">
        <v>1</v>
      </c>
      <c r="J253">
        <v>53</v>
      </c>
      <c r="K253">
        <v>4</v>
      </c>
      <c r="L253" t="s">
        <v>19</v>
      </c>
      <c r="M253">
        <v>86</v>
      </c>
    </row>
    <row r="254" spans="1:13">
      <c r="A254">
        <f t="shared" ca="1" si="3"/>
        <v>0.95274132989521543</v>
      </c>
      <c r="B254">
        <v>253</v>
      </c>
      <c r="C254" t="s">
        <v>8</v>
      </c>
      <c r="D254">
        <v>1</v>
      </c>
      <c r="E254" t="s">
        <v>134</v>
      </c>
      <c r="F254" t="s">
        <v>12</v>
      </c>
      <c r="G254">
        <v>1</v>
      </c>
      <c r="H254">
        <v>2</v>
      </c>
      <c r="I254">
        <v>3</v>
      </c>
      <c r="J254">
        <v>54</v>
      </c>
      <c r="K254">
        <v>7</v>
      </c>
      <c r="L254" t="s">
        <v>19</v>
      </c>
      <c r="M254">
        <v>343</v>
      </c>
    </row>
    <row r="255" spans="1:13">
      <c r="A255">
        <f t="shared" ca="1" si="3"/>
        <v>0.56851437925046955</v>
      </c>
      <c r="B255">
        <v>254</v>
      </c>
      <c r="C255" t="s">
        <v>7</v>
      </c>
      <c r="D255">
        <v>1</v>
      </c>
      <c r="E255" t="s">
        <v>134</v>
      </c>
      <c r="F255" t="s">
        <v>15</v>
      </c>
      <c r="G255">
        <v>1</v>
      </c>
      <c r="H255">
        <v>3</v>
      </c>
      <c r="I255">
        <v>5</v>
      </c>
      <c r="J255">
        <v>32</v>
      </c>
      <c r="K255">
        <v>5</v>
      </c>
      <c r="L255" t="s">
        <v>19</v>
      </c>
      <c r="M255">
        <v>480</v>
      </c>
    </row>
    <row r="256" spans="1:13">
      <c r="A256">
        <f t="shared" ca="1" si="3"/>
        <v>0.45345114798106956</v>
      </c>
      <c r="B256">
        <v>255</v>
      </c>
      <c r="C256" t="s">
        <v>8</v>
      </c>
      <c r="D256">
        <v>1</v>
      </c>
      <c r="E256" t="s">
        <v>134</v>
      </c>
      <c r="F256" t="s">
        <v>14</v>
      </c>
      <c r="G256">
        <v>1</v>
      </c>
      <c r="H256">
        <v>2</v>
      </c>
      <c r="I256">
        <v>2</v>
      </c>
      <c r="J256">
        <v>44</v>
      </c>
      <c r="K256">
        <v>5</v>
      </c>
      <c r="L256" t="s">
        <v>19</v>
      </c>
      <c r="M256">
        <v>215</v>
      </c>
    </row>
    <row r="257" spans="1:13">
      <c r="A257">
        <f t="shared" ca="1" si="3"/>
        <v>0.26392401918689701</v>
      </c>
      <c r="B257">
        <v>256</v>
      </c>
      <c r="C257" t="s">
        <v>7</v>
      </c>
      <c r="D257">
        <v>2</v>
      </c>
      <c r="E257" t="s">
        <v>140</v>
      </c>
      <c r="F257" t="s">
        <v>14</v>
      </c>
      <c r="G257">
        <v>1</v>
      </c>
      <c r="H257">
        <v>2</v>
      </c>
      <c r="I257">
        <v>4</v>
      </c>
      <c r="J257">
        <v>26</v>
      </c>
      <c r="K257">
        <v>5</v>
      </c>
      <c r="L257" t="s">
        <v>30</v>
      </c>
      <c r="M257">
        <v>424</v>
      </c>
    </row>
    <row r="258" spans="1:13">
      <c r="A258">
        <f t="shared" ref="A258:A321" ca="1" si="4">RAND()</f>
        <v>0.40938510333667066</v>
      </c>
      <c r="B258">
        <v>257</v>
      </c>
      <c r="C258" t="s">
        <v>8</v>
      </c>
      <c r="D258">
        <v>6</v>
      </c>
      <c r="E258" t="s">
        <v>139</v>
      </c>
      <c r="F258" t="s">
        <v>17</v>
      </c>
      <c r="G258">
        <v>1</v>
      </c>
      <c r="H258">
        <v>2</v>
      </c>
      <c r="I258">
        <v>1</v>
      </c>
      <c r="J258">
        <v>41</v>
      </c>
      <c r="K258">
        <v>9</v>
      </c>
      <c r="L258" t="s">
        <v>19</v>
      </c>
      <c r="M258">
        <v>87</v>
      </c>
    </row>
    <row r="259" spans="1:13">
      <c r="A259">
        <f t="shared" ca="1" si="4"/>
        <v>0.2140148602454125</v>
      </c>
      <c r="B259">
        <v>258</v>
      </c>
      <c r="C259" t="s">
        <v>8</v>
      </c>
      <c r="D259">
        <v>1</v>
      </c>
      <c r="E259" t="s">
        <v>134</v>
      </c>
      <c r="F259" t="s">
        <v>14</v>
      </c>
      <c r="G259">
        <v>1</v>
      </c>
      <c r="H259">
        <v>2</v>
      </c>
      <c r="I259">
        <v>3</v>
      </c>
      <c r="J259">
        <v>37</v>
      </c>
      <c r="K259">
        <v>8</v>
      </c>
      <c r="L259" t="s">
        <v>31</v>
      </c>
      <c r="M259">
        <v>363</v>
      </c>
    </row>
    <row r="260" spans="1:13">
      <c r="A260">
        <f t="shared" ca="1" si="4"/>
        <v>9.6163315835106844E-2</v>
      </c>
      <c r="B260">
        <v>259</v>
      </c>
      <c r="C260" t="s">
        <v>8</v>
      </c>
      <c r="D260">
        <v>1</v>
      </c>
      <c r="E260" t="s">
        <v>134</v>
      </c>
      <c r="F260" t="s">
        <v>13</v>
      </c>
      <c r="G260">
        <v>1</v>
      </c>
      <c r="H260">
        <v>3</v>
      </c>
      <c r="I260">
        <v>0</v>
      </c>
      <c r="J260">
        <v>42</v>
      </c>
      <c r="K260">
        <v>8</v>
      </c>
      <c r="L260" t="s">
        <v>19</v>
      </c>
      <c r="M260">
        <v>46</v>
      </c>
    </row>
    <row r="261" spans="1:13">
      <c r="A261">
        <f t="shared" ca="1" si="4"/>
        <v>0.58974712409721475</v>
      </c>
      <c r="B261">
        <v>260</v>
      </c>
      <c r="C261" t="s">
        <v>8</v>
      </c>
      <c r="D261">
        <v>2</v>
      </c>
      <c r="E261" t="s">
        <v>140</v>
      </c>
      <c r="F261" t="s">
        <v>16</v>
      </c>
      <c r="G261">
        <v>1</v>
      </c>
      <c r="H261">
        <v>2</v>
      </c>
      <c r="I261">
        <v>4</v>
      </c>
      <c r="J261">
        <v>59</v>
      </c>
      <c r="K261">
        <v>5</v>
      </c>
      <c r="L261" t="s">
        <v>19</v>
      </c>
      <c r="M261">
        <v>434</v>
      </c>
    </row>
    <row r="262" spans="1:13">
      <c r="A262">
        <f t="shared" ca="1" si="4"/>
        <v>0.25194648384793195</v>
      </c>
      <c r="B262">
        <v>261</v>
      </c>
      <c r="C262" t="s">
        <v>7</v>
      </c>
      <c r="D262">
        <v>3</v>
      </c>
      <c r="E262" t="s">
        <v>135</v>
      </c>
      <c r="F262" t="s">
        <v>13</v>
      </c>
      <c r="G262">
        <v>1</v>
      </c>
      <c r="H262">
        <v>3</v>
      </c>
      <c r="I262">
        <v>5</v>
      </c>
      <c r="J262">
        <v>25</v>
      </c>
      <c r="K262">
        <v>1</v>
      </c>
      <c r="L262" t="s">
        <v>31</v>
      </c>
      <c r="M262">
        <v>479</v>
      </c>
    </row>
    <row r="263" spans="1:13">
      <c r="A263">
        <f t="shared" ca="1" si="4"/>
        <v>0.42720416082801949</v>
      </c>
      <c r="B263">
        <v>262</v>
      </c>
      <c r="C263" t="s">
        <v>8</v>
      </c>
      <c r="D263">
        <v>5</v>
      </c>
      <c r="E263" t="s">
        <v>136</v>
      </c>
      <c r="F263" t="s">
        <v>12</v>
      </c>
      <c r="G263">
        <v>1</v>
      </c>
      <c r="H263">
        <v>3</v>
      </c>
      <c r="I263">
        <v>3</v>
      </c>
      <c r="J263">
        <v>37</v>
      </c>
      <c r="K263">
        <v>9</v>
      </c>
      <c r="L263" t="s">
        <v>19</v>
      </c>
      <c r="M263">
        <v>278</v>
      </c>
    </row>
    <row r="264" spans="1:13">
      <c r="A264">
        <f t="shared" ca="1" si="4"/>
        <v>0.75879423820934067</v>
      </c>
      <c r="B264">
        <v>263</v>
      </c>
      <c r="C264" t="s">
        <v>8</v>
      </c>
      <c r="D264">
        <v>2</v>
      </c>
      <c r="E264" t="s">
        <v>140</v>
      </c>
      <c r="F264" t="s">
        <v>14</v>
      </c>
      <c r="G264">
        <v>1</v>
      </c>
      <c r="H264">
        <v>2</v>
      </c>
      <c r="I264">
        <v>1</v>
      </c>
      <c r="J264">
        <v>56</v>
      </c>
      <c r="K264">
        <v>0</v>
      </c>
      <c r="L264" t="s">
        <v>39</v>
      </c>
      <c r="M264">
        <v>132</v>
      </c>
    </row>
    <row r="265" spans="1:13">
      <c r="A265">
        <f t="shared" ca="1" si="4"/>
        <v>0.79576810885420002</v>
      </c>
      <c r="B265">
        <v>264</v>
      </c>
      <c r="C265" t="s">
        <v>8</v>
      </c>
      <c r="D265">
        <v>2</v>
      </c>
      <c r="E265" t="s">
        <v>140</v>
      </c>
      <c r="F265" t="s">
        <v>14</v>
      </c>
      <c r="G265">
        <v>1</v>
      </c>
      <c r="H265">
        <v>2</v>
      </c>
      <c r="I265">
        <v>2</v>
      </c>
      <c r="J265">
        <v>48</v>
      </c>
      <c r="K265">
        <v>5</v>
      </c>
      <c r="L265" t="s">
        <v>31</v>
      </c>
      <c r="M265">
        <v>199</v>
      </c>
    </row>
    <row r="266" spans="1:13">
      <c r="A266">
        <f t="shared" ca="1" si="4"/>
        <v>0.65080029924337846</v>
      </c>
      <c r="B266">
        <v>265</v>
      </c>
      <c r="C266" t="s">
        <v>7</v>
      </c>
      <c r="D266">
        <v>3</v>
      </c>
      <c r="E266" t="s">
        <v>135</v>
      </c>
      <c r="F266" t="s">
        <v>14</v>
      </c>
      <c r="G266">
        <v>1</v>
      </c>
      <c r="H266">
        <v>2</v>
      </c>
      <c r="I266">
        <v>5</v>
      </c>
      <c r="J266">
        <v>24</v>
      </c>
      <c r="K266">
        <v>8</v>
      </c>
      <c r="L266" t="s">
        <v>19</v>
      </c>
      <c r="M266">
        <v>473</v>
      </c>
    </row>
    <row r="267" spans="1:13">
      <c r="A267">
        <f t="shared" ca="1" si="4"/>
        <v>0.78521995255849386</v>
      </c>
      <c r="B267">
        <v>266</v>
      </c>
      <c r="C267" t="s">
        <v>7</v>
      </c>
      <c r="D267">
        <v>2</v>
      </c>
      <c r="E267" t="s">
        <v>140</v>
      </c>
      <c r="F267" t="s">
        <v>14</v>
      </c>
      <c r="G267">
        <v>0.8</v>
      </c>
      <c r="H267">
        <v>2</v>
      </c>
      <c r="I267">
        <v>0</v>
      </c>
      <c r="J267">
        <v>37</v>
      </c>
      <c r="K267">
        <v>5</v>
      </c>
      <c r="L267" t="s">
        <v>19</v>
      </c>
      <c r="M267">
        <v>37</v>
      </c>
    </row>
    <row r="268" spans="1:13">
      <c r="A268">
        <f t="shared" ca="1" si="4"/>
        <v>0.25954598439148446</v>
      </c>
      <c r="B268">
        <v>267</v>
      </c>
      <c r="C268" t="s">
        <v>8</v>
      </c>
      <c r="D268">
        <v>2</v>
      </c>
      <c r="E268" t="s">
        <v>140</v>
      </c>
      <c r="F268" t="s">
        <v>12</v>
      </c>
      <c r="G268">
        <v>1</v>
      </c>
      <c r="H268">
        <v>2</v>
      </c>
      <c r="I268">
        <v>2</v>
      </c>
      <c r="J268">
        <v>45</v>
      </c>
      <c r="K268">
        <v>3</v>
      </c>
      <c r="L268" t="s">
        <v>19</v>
      </c>
      <c r="M268">
        <v>186</v>
      </c>
    </row>
    <row r="269" spans="1:13">
      <c r="A269">
        <f t="shared" ca="1" si="4"/>
        <v>0.16602589488471142</v>
      </c>
      <c r="B269">
        <v>268</v>
      </c>
      <c r="C269" t="s">
        <v>7</v>
      </c>
      <c r="D269">
        <v>1</v>
      </c>
      <c r="E269" t="s">
        <v>134</v>
      </c>
      <c r="F269" t="s">
        <v>14</v>
      </c>
      <c r="G269">
        <v>1</v>
      </c>
      <c r="H269">
        <v>4</v>
      </c>
      <c r="I269">
        <v>5</v>
      </c>
      <c r="J269">
        <v>61</v>
      </c>
      <c r="K269">
        <v>1</v>
      </c>
      <c r="L269" t="s">
        <v>31</v>
      </c>
      <c r="M269">
        <v>466</v>
      </c>
    </row>
    <row r="270" spans="1:13">
      <c r="A270">
        <f t="shared" ca="1" si="4"/>
        <v>0.58683349456118195</v>
      </c>
      <c r="B270">
        <v>269</v>
      </c>
      <c r="C270" t="s">
        <v>8</v>
      </c>
      <c r="D270">
        <v>3</v>
      </c>
      <c r="E270" t="s">
        <v>135</v>
      </c>
      <c r="F270" t="s">
        <v>17</v>
      </c>
      <c r="G270">
        <v>1</v>
      </c>
      <c r="H270">
        <v>2</v>
      </c>
      <c r="I270">
        <v>1</v>
      </c>
      <c r="J270">
        <v>41</v>
      </c>
      <c r="K270">
        <v>3</v>
      </c>
      <c r="L270" t="s">
        <v>19</v>
      </c>
      <c r="M270">
        <v>108</v>
      </c>
    </row>
    <row r="271" spans="1:13">
      <c r="A271">
        <f t="shared" ca="1" si="4"/>
        <v>0.10597103366222194</v>
      </c>
      <c r="B271">
        <v>270</v>
      </c>
      <c r="C271" t="s">
        <v>7</v>
      </c>
      <c r="D271">
        <v>1</v>
      </c>
      <c r="E271" t="s">
        <v>134</v>
      </c>
      <c r="F271" t="s">
        <v>14</v>
      </c>
      <c r="G271">
        <v>1</v>
      </c>
      <c r="H271">
        <v>3</v>
      </c>
      <c r="I271">
        <v>1</v>
      </c>
      <c r="J271">
        <v>48</v>
      </c>
      <c r="K271">
        <v>7</v>
      </c>
      <c r="L271" t="s">
        <v>19</v>
      </c>
      <c r="M271">
        <v>54</v>
      </c>
    </row>
    <row r="272" spans="1:13">
      <c r="A272">
        <f t="shared" ca="1" si="4"/>
        <v>0.27038831047572986</v>
      </c>
      <c r="B272">
        <v>271</v>
      </c>
      <c r="C272" t="s">
        <v>7</v>
      </c>
      <c r="D272">
        <v>3</v>
      </c>
      <c r="E272" t="s">
        <v>135</v>
      </c>
      <c r="F272" t="s">
        <v>16</v>
      </c>
      <c r="G272">
        <v>1</v>
      </c>
      <c r="H272">
        <v>2</v>
      </c>
      <c r="I272">
        <v>3</v>
      </c>
      <c r="J272">
        <v>36</v>
      </c>
      <c r="K272">
        <v>9</v>
      </c>
      <c r="L272" t="s">
        <v>19</v>
      </c>
      <c r="M272">
        <v>314</v>
      </c>
    </row>
    <row r="273" spans="1:13">
      <c r="A273">
        <f t="shared" ca="1" si="4"/>
        <v>0.68303289330097861</v>
      </c>
      <c r="B273">
        <v>272</v>
      </c>
      <c r="C273" t="s">
        <v>7</v>
      </c>
      <c r="D273">
        <v>5</v>
      </c>
      <c r="E273" t="s">
        <v>136</v>
      </c>
      <c r="F273" t="s">
        <v>14</v>
      </c>
      <c r="G273">
        <v>1</v>
      </c>
      <c r="H273">
        <v>3</v>
      </c>
      <c r="I273">
        <v>3</v>
      </c>
      <c r="J273">
        <v>33</v>
      </c>
      <c r="K273">
        <v>0</v>
      </c>
      <c r="L273" t="s">
        <v>19</v>
      </c>
      <c r="M273">
        <v>326</v>
      </c>
    </row>
    <row r="274" spans="1:13">
      <c r="A274">
        <f t="shared" ca="1" si="4"/>
        <v>0.47461739707919592</v>
      </c>
      <c r="B274">
        <v>273</v>
      </c>
      <c r="C274" t="s">
        <v>7</v>
      </c>
      <c r="D274">
        <v>1</v>
      </c>
      <c r="E274" t="s">
        <v>134</v>
      </c>
      <c r="F274" t="s">
        <v>15</v>
      </c>
      <c r="G274">
        <v>1</v>
      </c>
      <c r="H274">
        <v>3</v>
      </c>
      <c r="I274">
        <v>2</v>
      </c>
      <c r="J274">
        <v>61</v>
      </c>
      <c r="K274">
        <v>6</v>
      </c>
      <c r="L274" t="s">
        <v>19</v>
      </c>
      <c r="M274">
        <v>243</v>
      </c>
    </row>
    <row r="275" spans="1:13">
      <c r="A275">
        <f t="shared" ca="1" si="4"/>
        <v>0.58305220456470441</v>
      </c>
      <c r="B275">
        <v>274</v>
      </c>
      <c r="C275" t="s">
        <v>8</v>
      </c>
      <c r="D275">
        <v>1</v>
      </c>
      <c r="E275" t="s">
        <v>134</v>
      </c>
      <c r="F275" t="s">
        <v>14</v>
      </c>
      <c r="G275">
        <v>1</v>
      </c>
      <c r="H275">
        <v>2</v>
      </c>
      <c r="I275">
        <v>3</v>
      </c>
      <c r="J275">
        <v>52</v>
      </c>
      <c r="K275">
        <v>4</v>
      </c>
      <c r="L275" t="s">
        <v>19</v>
      </c>
      <c r="M275">
        <v>311</v>
      </c>
    </row>
    <row r="276" spans="1:13">
      <c r="A276">
        <f t="shared" ca="1" si="4"/>
        <v>0.65407502113886251</v>
      </c>
      <c r="B276">
        <v>275</v>
      </c>
      <c r="C276" t="s">
        <v>7</v>
      </c>
      <c r="D276">
        <v>5</v>
      </c>
      <c r="E276" t="s">
        <v>136</v>
      </c>
      <c r="F276" t="s">
        <v>14</v>
      </c>
      <c r="G276">
        <v>1</v>
      </c>
      <c r="H276">
        <v>2</v>
      </c>
      <c r="I276">
        <v>2</v>
      </c>
      <c r="J276">
        <v>47</v>
      </c>
      <c r="K276">
        <v>1</v>
      </c>
      <c r="L276" t="s">
        <v>31</v>
      </c>
      <c r="M276">
        <v>218</v>
      </c>
    </row>
    <row r="277" spans="1:13">
      <c r="A277">
        <f t="shared" ca="1" si="4"/>
        <v>0.56344701268142316</v>
      </c>
      <c r="B277">
        <v>276</v>
      </c>
      <c r="C277" t="s">
        <v>8</v>
      </c>
      <c r="D277">
        <v>1</v>
      </c>
      <c r="E277" t="s">
        <v>134</v>
      </c>
      <c r="F277" t="s">
        <v>16</v>
      </c>
      <c r="G277">
        <v>1</v>
      </c>
      <c r="H277">
        <v>3</v>
      </c>
      <c r="I277">
        <v>1</v>
      </c>
      <c r="J277">
        <v>38</v>
      </c>
      <c r="K277">
        <v>2</v>
      </c>
      <c r="L277" t="s">
        <v>31</v>
      </c>
      <c r="M277">
        <v>81</v>
      </c>
    </row>
    <row r="278" spans="1:13">
      <c r="A278">
        <f t="shared" ca="1" si="4"/>
        <v>0.87013898457366634</v>
      </c>
      <c r="B278">
        <v>277</v>
      </c>
      <c r="C278" t="s">
        <v>8</v>
      </c>
      <c r="D278">
        <v>1</v>
      </c>
      <c r="E278" t="s">
        <v>134</v>
      </c>
      <c r="F278" t="s">
        <v>14</v>
      </c>
      <c r="G278">
        <v>1</v>
      </c>
      <c r="H278">
        <v>2</v>
      </c>
      <c r="I278">
        <v>1</v>
      </c>
      <c r="J278">
        <v>50</v>
      </c>
      <c r="K278">
        <v>8</v>
      </c>
      <c r="L278" t="s">
        <v>31</v>
      </c>
      <c r="M278">
        <v>98</v>
      </c>
    </row>
    <row r="279" spans="1:13">
      <c r="A279">
        <f t="shared" ca="1" si="4"/>
        <v>7.7578045940708384E-2</v>
      </c>
      <c r="B279">
        <v>278</v>
      </c>
      <c r="C279" t="s">
        <v>8</v>
      </c>
      <c r="D279">
        <v>4</v>
      </c>
      <c r="E279" t="s">
        <v>137</v>
      </c>
      <c r="F279" t="s">
        <v>16</v>
      </c>
      <c r="G279">
        <v>1</v>
      </c>
      <c r="H279">
        <v>2</v>
      </c>
      <c r="I279">
        <v>1</v>
      </c>
      <c r="J279">
        <v>44</v>
      </c>
      <c r="K279">
        <v>4</v>
      </c>
      <c r="L279" t="s">
        <v>19</v>
      </c>
      <c r="M279">
        <v>61</v>
      </c>
    </row>
    <row r="280" spans="1:13">
      <c r="A280">
        <f t="shared" ca="1" si="4"/>
        <v>0.95657046193982509</v>
      </c>
      <c r="B280">
        <v>279</v>
      </c>
      <c r="C280" t="s">
        <v>8</v>
      </c>
      <c r="D280">
        <v>1</v>
      </c>
      <c r="E280" t="s">
        <v>134</v>
      </c>
      <c r="F280" t="s">
        <v>16</v>
      </c>
      <c r="G280">
        <v>1</v>
      </c>
      <c r="H280">
        <v>3</v>
      </c>
      <c r="I280">
        <v>3</v>
      </c>
      <c r="J280">
        <v>36</v>
      </c>
      <c r="K280">
        <v>8</v>
      </c>
      <c r="L280" t="s">
        <v>19</v>
      </c>
      <c r="M280">
        <v>276</v>
      </c>
    </row>
    <row r="281" spans="1:13">
      <c r="A281">
        <f t="shared" ca="1" si="4"/>
        <v>0.58260431041052307</v>
      </c>
      <c r="B281">
        <v>280</v>
      </c>
      <c r="C281" t="s">
        <v>8</v>
      </c>
      <c r="D281">
        <v>6</v>
      </c>
      <c r="E281" t="s">
        <v>139</v>
      </c>
      <c r="F281" t="s">
        <v>15</v>
      </c>
      <c r="G281">
        <v>1</v>
      </c>
      <c r="H281">
        <v>3</v>
      </c>
      <c r="I281">
        <v>1</v>
      </c>
      <c r="J281">
        <v>44</v>
      </c>
      <c r="K281">
        <v>0</v>
      </c>
      <c r="L281" t="s">
        <v>31</v>
      </c>
      <c r="M281">
        <v>85</v>
      </c>
    </row>
    <row r="282" spans="1:13">
      <c r="A282">
        <f t="shared" ca="1" si="4"/>
        <v>0.18675584056361927</v>
      </c>
      <c r="B282">
        <v>281</v>
      </c>
      <c r="C282" t="s">
        <v>8</v>
      </c>
      <c r="D282">
        <v>1</v>
      </c>
      <c r="E282" t="s">
        <v>134</v>
      </c>
      <c r="F282" t="s">
        <v>14</v>
      </c>
      <c r="G282">
        <v>1</v>
      </c>
      <c r="H282">
        <v>2</v>
      </c>
      <c r="I282">
        <v>1</v>
      </c>
      <c r="J282">
        <v>38</v>
      </c>
      <c r="K282">
        <v>5</v>
      </c>
      <c r="L282" t="s">
        <v>26</v>
      </c>
      <c r="M282">
        <v>117</v>
      </c>
    </row>
    <row r="283" spans="1:13">
      <c r="A283">
        <f t="shared" ca="1" si="4"/>
        <v>0.37364731955663344</v>
      </c>
      <c r="B283">
        <v>282</v>
      </c>
      <c r="C283" t="s">
        <v>8</v>
      </c>
      <c r="D283">
        <v>5</v>
      </c>
      <c r="E283" t="s">
        <v>136</v>
      </c>
      <c r="F283" t="s">
        <v>15</v>
      </c>
      <c r="G283">
        <v>1</v>
      </c>
      <c r="H283">
        <v>3</v>
      </c>
      <c r="I283">
        <v>3</v>
      </c>
      <c r="J283">
        <v>32</v>
      </c>
      <c r="K283">
        <v>9</v>
      </c>
      <c r="L283" t="s">
        <v>39</v>
      </c>
      <c r="M283">
        <v>299</v>
      </c>
    </row>
    <row r="284" spans="1:13">
      <c r="A284">
        <f t="shared" ca="1" si="4"/>
        <v>0.88976488730763348</v>
      </c>
      <c r="B284">
        <v>283</v>
      </c>
      <c r="C284" t="s">
        <v>8</v>
      </c>
      <c r="D284">
        <v>1</v>
      </c>
      <c r="E284" t="s">
        <v>134</v>
      </c>
      <c r="F284" t="s">
        <v>14</v>
      </c>
      <c r="G284">
        <v>1</v>
      </c>
      <c r="H284">
        <v>3</v>
      </c>
      <c r="I284">
        <v>5</v>
      </c>
      <c r="J284">
        <v>30</v>
      </c>
      <c r="K284">
        <v>7</v>
      </c>
      <c r="L284" t="s">
        <v>19</v>
      </c>
      <c r="M284">
        <v>477</v>
      </c>
    </row>
    <row r="285" spans="1:13">
      <c r="A285">
        <f t="shared" ca="1" si="4"/>
        <v>7.7130196595269762E-3</v>
      </c>
      <c r="B285">
        <v>284</v>
      </c>
      <c r="C285" t="s">
        <v>8</v>
      </c>
      <c r="D285">
        <v>1</v>
      </c>
      <c r="E285" t="s">
        <v>134</v>
      </c>
      <c r="F285" t="s">
        <v>14</v>
      </c>
      <c r="G285">
        <v>1</v>
      </c>
      <c r="H285">
        <v>2</v>
      </c>
      <c r="I285">
        <v>5</v>
      </c>
      <c r="J285">
        <v>41</v>
      </c>
      <c r="K285">
        <v>1</v>
      </c>
      <c r="L285" t="s">
        <v>31</v>
      </c>
      <c r="M285">
        <v>465</v>
      </c>
    </row>
    <row r="286" spans="1:13">
      <c r="A286">
        <f t="shared" ca="1" si="4"/>
        <v>0.21944573646882248</v>
      </c>
      <c r="B286">
        <v>285</v>
      </c>
      <c r="C286" t="s">
        <v>8</v>
      </c>
      <c r="D286">
        <v>1</v>
      </c>
      <c r="E286" t="s">
        <v>134</v>
      </c>
      <c r="F286" t="s">
        <v>16</v>
      </c>
      <c r="G286">
        <v>1</v>
      </c>
      <c r="H286">
        <v>2</v>
      </c>
      <c r="I286">
        <v>0</v>
      </c>
      <c r="J286">
        <v>49</v>
      </c>
      <c r="K286">
        <v>6</v>
      </c>
      <c r="L286" t="s">
        <v>19</v>
      </c>
      <c r="M286">
        <v>6</v>
      </c>
    </row>
    <row r="287" spans="1:13">
      <c r="A287">
        <f t="shared" ca="1" si="4"/>
        <v>0.51508626799220281</v>
      </c>
      <c r="B287">
        <v>286</v>
      </c>
      <c r="C287" t="s">
        <v>8</v>
      </c>
      <c r="D287">
        <v>3</v>
      </c>
      <c r="E287" t="s">
        <v>135</v>
      </c>
      <c r="F287" t="s">
        <v>14</v>
      </c>
      <c r="G287">
        <v>1</v>
      </c>
      <c r="H287">
        <v>2</v>
      </c>
      <c r="I287">
        <v>0</v>
      </c>
      <c r="J287">
        <v>29</v>
      </c>
      <c r="K287">
        <v>2</v>
      </c>
      <c r="L287" t="s">
        <v>30</v>
      </c>
      <c r="M287">
        <v>10</v>
      </c>
    </row>
    <row r="288" spans="1:13">
      <c r="A288">
        <f t="shared" ca="1" si="4"/>
        <v>0.14304162438533219</v>
      </c>
      <c r="B288">
        <v>287</v>
      </c>
      <c r="C288" t="s">
        <v>8</v>
      </c>
      <c r="D288">
        <v>1</v>
      </c>
      <c r="E288" t="s">
        <v>134</v>
      </c>
      <c r="F288" t="s">
        <v>15</v>
      </c>
      <c r="G288">
        <v>1</v>
      </c>
      <c r="H288">
        <v>3</v>
      </c>
      <c r="I288">
        <v>0</v>
      </c>
      <c r="J288">
        <v>42</v>
      </c>
      <c r="K288">
        <v>0</v>
      </c>
      <c r="L288" t="s">
        <v>31</v>
      </c>
      <c r="M288">
        <v>9</v>
      </c>
    </row>
    <row r="289" spans="1:13">
      <c r="A289">
        <f t="shared" ca="1" si="4"/>
        <v>0.70087884059252492</v>
      </c>
      <c r="B289">
        <v>288</v>
      </c>
      <c r="C289" t="s">
        <v>8</v>
      </c>
      <c r="D289">
        <v>2</v>
      </c>
      <c r="E289" t="s">
        <v>140</v>
      </c>
      <c r="F289" t="s">
        <v>16</v>
      </c>
      <c r="G289">
        <v>1</v>
      </c>
      <c r="H289">
        <v>2</v>
      </c>
      <c r="I289">
        <v>2</v>
      </c>
      <c r="J289">
        <v>47</v>
      </c>
      <c r="K289">
        <v>4</v>
      </c>
      <c r="L289" t="s">
        <v>30</v>
      </c>
      <c r="M289">
        <v>228</v>
      </c>
    </row>
    <row r="290" spans="1:13">
      <c r="A290">
        <f t="shared" ca="1" si="4"/>
        <v>0.91142823292592423</v>
      </c>
      <c r="B290">
        <v>289</v>
      </c>
      <c r="C290" t="s">
        <v>7</v>
      </c>
      <c r="D290">
        <v>2</v>
      </c>
      <c r="E290" t="s">
        <v>140</v>
      </c>
      <c r="F290" t="s">
        <v>16</v>
      </c>
      <c r="G290">
        <v>1</v>
      </c>
      <c r="H290">
        <v>3</v>
      </c>
      <c r="I290">
        <v>0</v>
      </c>
      <c r="J290">
        <v>41</v>
      </c>
      <c r="K290">
        <v>4</v>
      </c>
      <c r="L290" t="s">
        <v>26</v>
      </c>
      <c r="M290">
        <v>2</v>
      </c>
    </row>
    <row r="291" spans="1:13">
      <c r="A291">
        <f t="shared" ca="1" si="4"/>
        <v>7.5160764301668181E-2</v>
      </c>
      <c r="B291">
        <v>290</v>
      </c>
      <c r="C291" t="s">
        <v>8</v>
      </c>
      <c r="D291">
        <v>1</v>
      </c>
      <c r="E291" t="s">
        <v>134</v>
      </c>
      <c r="F291" t="s">
        <v>14</v>
      </c>
      <c r="G291">
        <v>1</v>
      </c>
      <c r="H291">
        <v>1</v>
      </c>
      <c r="I291">
        <v>8</v>
      </c>
      <c r="J291">
        <v>36</v>
      </c>
      <c r="K291">
        <v>8</v>
      </c>
      <c r="L291" t="s">
        <v>31</v>
      </c>
      <c r="M291">
        <v>494</v>
      </c>
    </row>
    <row r="292" spans="1:13">
      <c r="A292">
        <f t="shared" ca="1" si="4"/>
        <v>0.84544240951994354</v>
      </c>
      <c r="B292">
        <v>291</v>
      </c>
      <c r="C292" t="s">
        <v>7</v>
      </c>
      <c r="D292">
        <v>3</v>
      </c>
      <c r="E292" t="s">
        <v>135</v>
      </c>
      <c r="F292" t="s">
        <v>16</v>
      </c>
      <c r="G292">
        <v>1</v>
      </c>
      <c r="H292">
        <v>3</v>
      </c>
      <c r="I292">
        <v>3</v>
      </c>
      <c r="J292">
        <v>37</v>
      </c>
      <c r="K292">
        <v>6</v>
      </c>
      <c r="L292" t="s">
        <v>19</v>
      </c>
      <c r="M292">
        <v>283</v>
      </c>
    </row>
    <row r="293" spans="1:13">
      <c r="A293">
        <f t="shared" ca="1" si="4"/>
        <v>0.10449582787871514</v>
      </c>
      <c r="B293">
        <v>292</v>
      </c>
      <c r="C293" t="s">
        <v>8</v>
      </c>
      <c r="D293">
        <v>1</v>
      </c>
      <c r="E293" t="s">
        <v>134</v>
      </c>
      <c r="F293" t="s">
        <v>16</v>
      </c>
      <c r="G293">
        <v>1</v>
      </c>
      <c r="H293">
        <v>2</v>
      </c>
      <c r="I293">
        <v>4</v>
      </c>
      <c r="J293">
        <v>39</v>
      </c>
      <c r="K293">
        <v>9</v>
      </c>
      <c r="L293" t="s">
        <v>31</v>
      </c>
      <c r="M293">
        <v>458</v>
      </c>
    </row>
    <row r="294" spans="1:13">
      <c r="A294">
        <f t="shared" ca="1" si="4"/>
        <v>0.67213035083426298</v>
      </c>
      <c r="B294">
        <v>293</v>
      </c>
      <c r="C294" t="s">
        <v>7</v>
      </c>
      <c r="D294">
        <v>2</v>
      </c>
      <c r="E294" t="s">
        <v>140</v>
      </c>
      <c r="F294" t="s">
        <v>15</v>
      </c>
      <c r="G294">
        <v>0.6</v>
      </c>
      <c r="H294">
        <v>2</v>
      </c>
      <c r="I294">
        <v>4</v>
      </c>
      <c r="J294">
        <v>48</v>
      </c>
      <c r="K294">
        <v>9</v>
      </c>
      <c r="L294" t="s">
        <v>31</v>
      </c>
      <c r="M294">
        <v>431</v>
      </c>
    </row>
    <row r="295" spans="1:13">
      <c r="A295">
        <f t="shared" ca="1" si="4"/>
        <v>0.7456093222030028</v>
      </c>
      <c r="B295">
        <v>294</v>
      </c>
      <c r="C295" t="s">
        <v>8</v>
      </c>
      <c r="D295">
        <v>3</v>
      </c>
      <c r="E295" t="s">
        <v>135</v>
      </c>
      <c r="F295" t="s">
        <v>14</v>
      </c>
      <c r="G295">
        <v>1</v>
      </c>
      <c r="H295">
        <v>2</v>
      </c>
      <c r="I295">
        <v>2</v>
      </c>
      <c r="J295">
        <v>38</v>
      </c>
      <c r="K295">
        <v>0</v>
      </c>
      <c r="L295" t="s">
        <v>19</v>
      </c>
      <c r="M295">
        <v>185</v>
      </c>
    </row>
    <row r="296" spans="1:13">
      <c r="A296">
        <f t="shared" ca="1" si="4"/>
        <v>0.60983005550711111</v>
      </c>
      <c r="B296">
        <v>295</v>
      </c>
      <c r="C296" t="s">
        <v>7</v>
      </c>
      <c r="D296">
        <v>2</v>
      </c>
      <c r="E296" t="s">
        <v>140</v>
      </c>
      <c r="F296" t="s">
        <v>14</v>
      </c>
      <c r="G296">
        <v>1</v>
      </c>
      <c r="H296">
        <v>2</v>
      </c>
      <c r="I296">
        <v>3</v>
      </c>
      <c r="J296">
        <v>43</v>
      </c>
      <c r="K296">
        <v>8</v>
      </c>
      <c r="L296" t="s">
        <v>19</v>
      </c>
      <c r="M296">
        <v>353</v>
      </c>
    </row>
    <row r="297" spans="1:13">
      <c r="A297">
        <f t="shared" ca="1" si="4"/>
        <v>0.30448020963334632</v>
      </c>
      <c r="B297">
        <v>296</v>
      </c>
      <c r="C297" t="s">
        <v>8</v>
      </c>
      <c r="D297">
        <v>1</v>
      </c>
      <c r="E297" t="s">
        <v>134</v>
      </c>
      <c r="F297" t="s">
        <v>16</v>
      </c>
      <c r="G297">
        <v>1</v>
      </c>
      <c r="H297">
        <v>2</v>
      </c>
      <c r="I297">
        <v>3</v>
      </c>
      <c r="J297">
        <v>44</v>
      </c>
      <c r="K297">
        <v>3</v>
      </c>
      <c r="L297" t="s">
        <v>32</v>
      </c>
      <c r="M297">
        <v>263</v>
      </c>
    </row>
    <row r="298" spans="1:13">
      <c r="A298">
        <f t="shared" ca="1" si="4"/>
        <v>0.66087428024799744</v>
      </c>
      <c r="B298">
        <v>297</v>
      </c>
      <c r="C298" t="s">
        <v>8</v>
      </c>
      <c r="D298">
        <v>1</v>
      </c>
      <c r="E298" t="s">
        <v>134</v>
      </c>
      <c r="F298" t="s">
        <v>16</v>
      </c>
      <c r="G298">
        <v>1</v>
      </c>
      <c r="H298">
        <v>2</v>
      </c>
      <c r="I298">
        <v>2</v>
      </c>
      <c r="J298">
        <v>41</v>
      </c>
      <c r="K298">
        <v>2</v>
      </c>
      <c r="L298" t="s">
        <v>19</v>
      </c>
      <c r="M298">
        <v>175</v>
      </c>
    </row>
    <row r="299" spans="1:13">
      <c r="A299">
        <f t="shared" ca="1" si="4"/>
        <v>0.85276873980945178</v>
      </c>
      <c r="B299">
        <v>298</v>
      </c>
      <c r="C299" t="s">
        <v>7</v>
      </c>
      <c r="D299">
        <v>4</v>
      </c>
      <c r="E299" t="s">
        <v>137</v>
      </c>
      <c r="F299" t="s">
        <v>14</v>
      </c>
      <c r="G299">
        <v>1</v>
      </c>
      <c r="H299">
        <v>3</v>
      </c>
      <c r="I299">
        <v>3</v>
      </c>
      <c r="J299">
        <v>39</v>
      </c>
      <c r="K299">
        <v>9</v>
      </c>
      <c r="L299" t="s">
        <v>19</v>
      </c>
      <c r="M299">
        <v>285</v>
      </c>
    </row>
    <row r="300" spans="1:13">
      <c r="A300">
        <f t="shared" ca="1" si="4"/>
        <v>0.83505735721484975</v>
      </c>
      <c r="B300">
        <v>299</v>
      </c>
      <c r="C300" t="s">
        <v>8</v>
      </c>
      <c r="D300">
        <v>2</v>
      </c>
      <c r="E300" t="s">
        <v>140</v>
      </c>
      <c r="F300" t="s">
        <v>16</v>
      </c>
      <c r="G300">
        <v>1</v>
      </c>
      <c r="H300">
        <v>3</v>
      </c>
      <c r="I300">
        <v>2</v>
      </c>
      <c r="J300">
        <v>46</v>
      </c>
      <c r="K300">
        <v>6</v>
      </c>
      <c r="L300" t="s">
        <v>19</v>
      </c>
      <c r="M300">
        <v>212</v>
      </c>
    </row>
    <row r="301" spans="1:13">
      <c r="A301">
        <f t="shared" ca="1" si="4"/>
        <v>0.24324143012551336</v>
      </c>
      <c r="B301">
        <v>300</v>
      </c>
      <c r="C301" t="s">
        <v>8</v>
      </c>
      <c r="D301">
        <v>3</v>
      </c>
      <c r="E301" t="s">
        <v>135</v>
      </c>
      <c r="F301" t="s">
        <v>14</v>
      </c>
      <c r="G301">
        <v>1</v>
      </c>
      <c r="H301">
        <v>3</v>
      </c>
      <c r="I301">
        <v>0</v>
      </c>
      <c r="J301">
        <v>51</v>
      </c>
      <c r="K301">
        <v>4</v>
      </c>
      <c r="L301" t="s">
        <v>31</v>
      </c>
      <c r="M301">
        <v>22</v>
      </c>
    </row>
    <row r="302" spans="1:13">
      <c r="A302">
        <f t="shared" ca="1" si="4"/>
        <v>0.38638066362938683</v>
      </c>
      <c r="B302">
        <v>301</v>
      </c>
      <c r="C302" t="s">
        <v>8</v>
      </c>
      <c r="D302">
        <v>1</v>
      </c>
      <c r="E302" t="s">
        <v>134</v>
      </c>
      <c r="F302" t="s">
        <v>14</v>
      </c>
      <c r="G302">
        <v>1</v>
      </c>
      <c r="H302">
        <v>2</v>
      </c>
      <c r="I302">
        <v>1</v>
      </c>
      <c r="J302">
        <v>45</v>
      </c>
      <c r="K302">
        <v>3</v>
      </c>
      <c r="L302" t="s">
        <v>19</v>
      </c>
      <c r="M302">
        <v>103</v>
      </c>
    </row>
    <row r="303" spans="1:13">
      <c r="A303">
        <f t="shared" ca="1" si="4"/>
        <v>0.17601698954648837</v>
      </c>
      <c r="B303">
        <v>302</v>
      </c>
      <c r="C303" t="s">
        <v>8</v>
      </c>
      <c r="D303">
        <v>1</v>
      </c>
      <c r="E303" t="s">
        <v>134</v>
      </c>
      <c r="F303" t="s">
        <v>15</v>
      </c>
      <c r="G303">
        <v>1</v>
      </c>
      <c r="H303">
        <v>2</v>
      </c>
      <c r="I303">
        <v>3</v>
      </c>
      <c r="J303">
        <v>38</v>
      </c>
      <c r="K303">
        <v>6</v>
      </c>
      <c r="L303" t="s">
        <v>19</v>
      </c>
      <c r="M303">
        <v>382</v>
      </c>
    </row>
    <row r="304" spans="1:13">
      <c r="A304">
        <f t="shared" ca="1" si="4"/>
        <v>0.5756116797488503</v>
      </c>
      <c r="B304">
        <v>303</v>
      </c>
      <c r="C304" t="s">
        <v>8</v>
      </c>
      <c r="D304">
        <v>3</v>
      </c>
      <c r="E304" t="s">
        <v>135</v>
      </c>
      <c r="F304" t="s">
        <v>14</v>
      </c>
      <c r="G304">
        <v>1</v>
      </c>
      <c r="H304">
        <v>3</v>
      </c>
      <c r="I304">
        <v>3</v>
      </c>
      <c r="J304">
        <v>49</v>
      </c>
      <c r="K304">
        <v>0</v>
      </c>
      <c r="L304" t="s">
        <v>19</v>
      </c>
      <c r="M304">
        <v>332</v>
      </c>
    </row>
    <row r="305" spans="1:13">
      <c r="A305">
        <f t="shared" ca="1" si="4"/>
        <v>0.73195608635072051</v>
      </c>
      <c r="B305">
        <v>304</v>
      </c>
      <c r="C305" t="s">
        <v>7</v>
      </c>
      <c r="D305">
        <v>4</v>
      </c>
      <c r="E305" t="s">
        <v>137</v>
      </c>
      <c r="F305" t="s">
        <v>14</v>
      </c>
      <c r="G305">
        <v>1</v>
      </c>
      <c r="H305">
        <v>2</v>
      </c>
      <c r="I305">
        <v>1</v>
      </c>
      <c r="J305">
        <v>30</v>
      </c>
      <c r="K305">
        <v>8</v>
      </c>
      <c r="L305" t="s">
        <v>19</v>
      </c>
      <c r="M305">
        <v>147</v>
      </c>
    </row>
    <row r="306" spans="1:13">
      <c r="A306">
        <f t="shared" ca="1" si="4"/>
        <v>0.62972609710661354</v>
      </c>
      <c r="B306">
        <v>305</v>
      </c>
      <c r="C306" t="s">
        <v>8</v>
      </c>
      <c r="D306">
        <v>2</v>
      </c>
      <c r="E306" t="s">
        <v>140</v>
      </c>
      <c r="F306" t="s">
        <v>16</v>
      </c>
      <c r="G306">
        <v>1</v>
      </c>
      <c r="H306">
        <v>2</v>
      </c>
      <c r="I306">
        <v>3</v>
      </c>
      <c r="J306">
        <v>47</v>
      </c>
      <c r="K306">
        <v>9</v>
      </c>
      <c r="L306" t="s">
        <v>26</v>
      </c>
      <c r="M306">
        <v>319</v>
      </c>
    </row>
    <row r="307" spans="1:13">
      <c r="A307">
        <f t="shared" ca="1" si="4"/>
        <v>0.66329485312196446</v>
      </c>
      <c r="B307">
        <v>306</v>
      </c>
      <c r="C307" t="s">
        <v>8</v>
      </c>
      <c r="D307">
        <v>1</v>
      </c>
      <c r="E307" t="s">
        <v>134</v>
      </c>
      <c r="F307" t="s">
        <v>14</v>
      </c>
      <c r="G307">
        <v>1</v>
      </c>
      <c r="H307">
        <v>3</v>
      </c>
      <c r="I307">
        <v>1</v>
      </c>
      <c r="J307">
        <v>33</v>
      </c>
      <c r="K307">
        <v>6</v>
      </c>
      <c r="L307" t="s">
        <v>19</v>
      </c>
      <c r="M307">
        <v>120</v>
      </c>
    </row>
    <row r="308" spans="1:13">
      <c r="A308">
        <f t="shared" ca="1" si="4"/>
        <v>0.14486952753395776</v>
      </c>
      <c r="B308">
        <v>307</v>
      </c>
      <c r="C308" t="s">
        <v>8</v>
      </c>
      <c r="D308">
        <v>1</v>
      </c>
      <c r="E308" t="s">
        <v>134</v>
      </c>
      <c r="F308" t="s">
        <v>14</v>
      </c>
      <c r="G308">
        <v>1</v>
      </c>
      <c r="H308">
        <v>3</v>
      </c>
      <c r="I308">
        <v>3</v>
      </c>
      <c r="J308">
        <v>32</v>
      </c>
      <c r="K308">
        <v>7</v>
      </c>
      <c r="L308" t="s">
        <v>19</v>
      </c>
      <c r="M308">
        <v>384</v>
      </c>
    </row>
    <row r="309" spans="1:13">
      <c r="A309">
        <f t="shared" ca="1" si="4"/>
        <v>0.60740996868818609</v>
      </c>
      <c r="B309">
        <v>308</v>
      </c>
      <c r="C309" t="s">
        <v>8</v>
      </c>
      <c r="D309">
        <v>2</v>
      </c>
      <c r="E309" t="s">
        <v>140</v>
      </c>
      <c r="F309" t="s">
        <v>16</v>
      </c>
      <c r="G309">
        <v>1</v>
      </c>
      <c r="H309">
        <v>2</v>
      </c>
      <c r="I309">
        <v>3</v>
      </c>
      <c r="J309">
        <v>41</v>
      </c>
      <c r="K309">
        <v>0</v>
      </c>
      <c r="L309" t="s">
        <v>19</v>
      </c>
      <c r="M309">
        <v>408</v>
      </c>
    </row>
    <row r="310" spans="1:13">
      <c r="A310">
        <f t="shared" ca="1" si="4"/>
        <v>0.21218962616792525</v>
      </c>
      <c r="B310">
        <v>309</v>
      </c>
      <c r="C310" t="s">
        <v>8</v>
      </c>
      <c r="D310">
        <v>3</v>
      </c>
      <c r="E310" t="s">
        <v>135</v>
      </c>
      <c r="F310" t="s">
        <v>16</v>
      </c>
      <c r="G310">
        <v>1</v>
      </c>
      <c r="H310">
        <v>3</v>
      </c>
      <c r="I310">
        <v>1</v>
      </c>
      <c r="J310">
        <v>39</v>
      </c>
      <c r="K310">
        <v>7</v>
      </c>
      <c r="L310" t="s">
        <v>19</v>
      </c>
      <c r="M310">
        <v>114</v>
      </c>
    </row>
    <row r="311" spans="1:13">
      <c r="A311">
        <f t="shared" ca="1" si="4"/>
        <v>5.6605386347940434E-2</v>
      </c>
      <c r="B311">
        <v>310</v>
      </c>
      <c r="C311" t="s">
        <v>7</v>
      </c>
      <c r="D311">
        <v>3</v>
      </c>
      <c r="E311" t="s">
        <v>135</v>
      </c>
      <c r="F311" t="s">
        <v>14</v>
      </c>
      <c r="G311">
        <v>1</v>
      </c>
      <c r="H311">
        <v>3</v>
      </c>
      <c r="I311">
        <v>0</v>
      </c>
      <c r="J311">
        <v>59</v>
      </c>
      <c r="K311">
        <v>0</v>
      </c>
      <c r="L311" t="s">
        <v>30</v>
      </c>
      <c r="M311">
        <v>14</v>
      </c>
    </row>
    <row r="312" spans="1:13">
      <c r="A312">
        <f t="shared" ca="1" si="4"/>
        <v>0.13954677673579263</v>
      </c>
      <c r="B312">
        <v>311</v>
      </c>
      <c r="C312" t="s">
        <v>7</v>
      </c>
      <c r="D312">
        <v>1</v>
      </c>
      <c r="E312" t="s">
        <v>134</v>
      </c>
      <c r="F312" t="s">
        <v>14</v>
      </c>
      <c r="G312">
        <v>1</v>
      </c>
      <c r="H312">
        <v>2</v>
      </c>
      <c r="I312">
        <v>2</v>
      </c>
      <c r="J312">
        <v>55</v>
      </c>
      <c r="K312">
        <v>9</v>
      </c>
      <c r="L312" t="s">
        <v>26</v>
      </c>
      <c r="M312">
        <v>221</v>
      </c>
    </row>
    <row r="313" spans="1:13">
      <c r="A313">
        <f t="shared" ca="1" si="4"/>
        <v>0.22938368766168538</v>
      </c>
      <c r="B313">
        <v>312</v>
      </c>
      <c r="C313" t="s">
        <v>7</v>
      </c>
      <c r="D313">
        <v>2</v>
      </c>
      <c r="E313" t="s">
        <v>140</v>
      </c>
      <c r="F313" t="s">
        <v>14</v>
      </c>
      <c r="G313">
        <v>1</v>
      </c>
      <c r="H313">
        <v>2</v>
      </c>
      <c r="I313">
        <v>3</v>
      </c>
      <c r="J313">
        <v>34</v>
      </c>
      <c r="K313">
        <v>8</v>
      </c>
      <c r="L313" t="s">
        <v>30</v>
      </c>
      <c r="M313">
        <v>379</v>
      </c>
    </row>
    <row r="314" spans="1:13">
      <c r="A314">
        <f t="shared" ca="1" si="4"/>
        <v>0.44179084867722507</v>
      </c>
      <c r="B314">
        <v>313</v>
      </c>
      <c r="C314" t="s">
        <v>8</v>
      </c>
      <c r="D314">
        <v>1</v>
      </c>
      <c r="E314" t="s">
        <v>134</v>
      </c>
      <c r="F314" t="s">
        <v>14</v>
      </c>
      <c r="G314">
        <v>1</v>
      </c>
      <c r="H314">
        <v>3</v>
      </c>
      <c r="I314">
        <v>1</v>
      </c>
      <c r="J314">
        <v>49</v>
      </c>
      <c r="K314">
        <v>8</v>
      </c>
      <c r="L314" t="s">
        <v>31</v>
      </c>
      <c r="M314">
        <v>130</v>
      </c>
    </row>
    <row r="315" spans="1:13">
      <c r="A315">
        <f t="shared" ca="1" si="4"/>
        <v>0.35386551154835855</v>
      </c>
      <c r="B315">
        <v>314</v>
      </c>
      <c r="C315" t="s">
        <v>7</v>
      </c>
      <c r="D315">
        <v>1</v>
      </c>
      <c r="E315" t="s">
        <v>134</v>
      </c>
      <c r="F315" t="s">
        <v>14</v>
      </c>
      <c r="G315">
        <v>1</v>
      </c>
      <c r="H315">
        <v>3</v>
      </c>
      <c r="I315">
        <v>2</v>
      </c>
      <c r="J315">
        <v>32</v>
      </c>
      <c r="K315">
        <v>0</v>
      </c>
      <c r="L315" t="s">
        <v>31</v>
      </c>
      <c r="M315">
        <v>206</v>
      </c>
    </row>
    <row r="316" spans="1:13">
      <c r="A316">
        <f t="shared" ca="1" si="4"/>
        <v>0.56853688946036574</v>
      </c>
      <c r="B316">
        <v>315</v>
      </c>
      <c r="C316" t="s">
        <v>7</v>
      </c>
      <c r="D316">
        <v>1</v>
      </c>
      <c r="E316" t="s">
        <v>134</v>
      </c>
      <c r="F316" t="s">
        <v>14</v>
      </c>
      <c r="G316">
        <v>1</v>
      </c>
      <c r="H316">
        <v>2</v>
      </c>
      <c r="I316">
        <v>6</v>
      </c>
      <c r="J316">
        <v>29</v>
      </c>
      <c r="K316">
        <v>0</v>
      </c>
      <c r="L316" t="s">
        <v>19</v>
      </c>
      <c r="M316">
        <v>488</v>
      </c>
    </row>
    <row r="317" spans="1:13">
      <c r="A317">
        <f t="shared" ca="1" si="4"/>
        <v>0.19494647694915035</v>
      </c>
      <c r="B317">
        <v>316</v>
      </c>
      <c r="C317" t="s">
        <v>8</v>
      </c>
      <c r="D317">
        <v>6</v>
      </c>
      <c r="E317" t="s">
        <v>139</v>
      </c>
      <c r="F317" t="s">
        <v>14</v>
      </c>
      <c r="G317">
        <v>1</v>
      </c>
      <c r="H317">
        <v>2</v>
      </c>
      <c r="I317">
        <v>2</v>
      </c>
      <c r="J317">
        <v>46</v>
      </c>
      <c r="K317">
        <v>4</v>
      </c>
      <c r="L317" t="s">
        <v>26</v>
      </c>
      <c r="M317">
        <v>187</v>
      </c>
    </row>
    <row r="318" spans="1:13">
      <c r="A318">
        <f t="shared" ca="1" si="4"/>
        <v>0.18577378418365476</v>
      </c>
      <c r="B318">
        <v>317</v>
      </c>
      <c r="C318" t="s">
        <v>7</v>
      </c>
      <c r="D318">
        <v>1</v>
      </c>
      <c r="E318" t="s">
        <v>134</v>
      </c>
      <c r="F318" t="s">
        <v>14</v>
      </c>
      <c r="G318">
        <v>1</v>
      </c>
      <c r="H318">
        <v>2</v>
      </c>
      <c r="I318">
        <v>4</v>
      </c>
      <c r="J318">
        <v>51</v>
      </c>
      <c r="K318">
        <v>4</v>
      </c>
      <c r="L318" t="s">
        <v>19</v>
      </c>
      <c r="M318">
        <v>421</v>
      </c>
    </row>
    <row r="319" spans="1:13">
      <c r="A319">
        <f t="shared" ca="1" si="4"/>
        <v>0.79801876182897447</v>
      </c>
      <c r="B319">
        <v>318</v>
      </c>
      <c r="C319" t="s">
        <v>7</v>
      </c>
      <c r="D319">
        <v>4</v>
      </c>
      <c r="E319" t="s">
        <v>137</v>
      </c>
      <c r="F319" t="s">
        <v>14</v>
      </c>
      <c r="G319">
        <v>1</v>
      </c>
      <c r="H319">
        <v>3</v>
      </c>
      <c r="I319">
        <v>0</v>
      </c>
      <c r="J319">
        <v>26</v>
      </c>
      <c r="K319">
        <v>0</v>
      </c>
      <c r="L319" t="s">
        <v>31</v>
      </c>
      <c r="M319">
        <v>24</v>
      </c>
    </row>
    <row r="320" spans="1:13">
      <c r="A320">
        <f t="shared" ca="1" si="4"/>
        <v>0.68570820153855749</v>
      </c>
      <c r="B320">
        <v>319</v>
      </c>
      <c r="C320" t="s">
        <v>8</v>
      </c>
      <c r="D320">
        <v>2</v>
      </c>
      <c r="E320" t="s">
        <v>140</v>
      </c>
      <c r="F320" t="s">
        <v>14</v>
      </c>
      <c r="G320">
        <v>1</v>
      </c>
      <c r="H320">
        <v>3</v>
      </c>
      <c r="I320">
        <v>0</v>
      </c>
      <c r="J320">
        <v>52</v>
      </c>
      <c r="K320">
        <v>2</v>
      </c>
      <c r="L320" t="s">
        <v>30</v>
      </c>
      <c r="M320">
        <v>43</v>
      </c>
    </row>
    <row r="321" spans="1:13">
      <c r="A321">
        <f t="shared" ca="1" si="4"/>
        <v>0.11678853453034321</v>
      </c>
      <c r="B321">
        <v>320</v>
      </c>
      <c r="C321" t="s">
        <v>8</v>
      </c>
      <c r="D321">
        <v>2</v>
      </c>
      <c r="E321" t="s">
        <v>140</v>
      </c>
      <c r="F321" t="s">
        <v>16</v>
      </c>
      <c r="G321">
        <v>1</v>
      </c>
      <c r="H321">
        <v>3</v>
      </c>
      <c r="I321">
        <v>1</v>
      </c>
      <c r="J321">
        <v>49</v>
      </c>
      <c r="K321">
        <v>0</v>
      </c>
      <c r="L321" t="s">
        <v>19</v>
      </c>
      <c r="M321">
        <v>124</v>
      </c>
    </row>
    <row r="322" spans="1:13">
      <c r="A322">
        <f t="shared" ref="A322:A385" ca="1" si="5">RAND()</f>
        <v>0.53533695041976381</v>
      </c>
      <c r="B322">
        <v>321</v>
      </c>
      <c r="C322" t="s">
        <v>8</v>
      </c>
      <c r="D322">
        <v>4</v>
      </c>
      <c r="E322" t="s">
        <v>137</v>
      </c>
      <c r="F322" t="s">
        <v>14</v>
      </c>
      <c r="G322">
        <v>1</v>
      </c>
      <c r="H322">
        <v>3</v>
      </c>
      <c r="I322">
        <v>4</v>
      </c>
      <c r="J322">
        <v>36</v>
      </c>
      <c r="K322">
        <v>9</v>
      </c>
      <c r="L322" t="s">
        <v>19</v>
      </c>
      <c r="M322">
        <v>456</v>
      </c>
    </row>
    <row r="323" spans="1:13">
      <c r="A323">
        <f t="shared" ca="1" si="5"/>
        <v>0.42430264905188642</v>
      </c>
      <c r="B323">
        <v>322</v>
      </c>
      <c r="C323" t="s">
        <v>7</v>
      </c>
      <c r="D323">
        <v>4</v>
      </c>
      <c r="E323" t="s">
        <v>137</v>
      </c>
      <c r="F323" t="s">
        <v>15</v>
      </c>
      <c r="G323">
        <v>1</v>
      </c>
      <c r="H323">
        <v>3</v>
      </c>
      <c r="I323">
        <v>3</v>
      </c>
      <c r="J323">
        <v>46</v>
      </c>
      <c r="K323">
        <v>4</v>
      </c>
      <c r="L323" t="s">
        <v>19</v>
      </c>
      <c r="M323">
        <v>383</v>
      </c>
    </row>
    <row r="324" spans="1:13">
      <c r="A324">
        <f t="shared" ca="1" si="5"/>
        <v>0.46902970390838516</v>
      </c>
      <c r="B324">
        <v>323</v>
      </c>
      <c r="C324" t="s">
        <v>8</v>
      </c>
      <c r="D324">
        <v>2</v>
      </c>
      <c r="E324" t="s">
        <v>140</v>
      </c>
      <c r="F324" t="s">
        <v>16</v>
      </c>
      <c r="G324">
        <v>1</v>
      </c>
      <c r="H324">
        <v>4</v>
      </c>
      <c r="I324">
        <v>1</v>
      </c>
      <c r="J324">
        <v>33</v>
      </c>
      <c r="K324">
        <v>1</v>
      </c>
      <c r="L324" t="s">
        <v>19</v>
      </c>
      <c r="M324">
        <v>109</v>
      </c>
    </row>
    <row r="325" spans="1:13">
      <c r="A325">
        <f t="shared" ca="1" si="5"/>
        <v>0.72801272227616143</v>
      </c>
      <c r="B325">
        <v>324</v>
      </c>
      <c r="C325" t="s">
        <v>8</v>
      </c>
      <c r="D325">
        <v>5</v>
      </c>
      <c r="E325" t="s">
        <v>136</v>
      </c>
      <c r="F325" t="s">
        <v>15</v>
      </c>
      <c r="G325">
        <v>1</v>
      </c>
      <c r="H325">
        <v>2</v>
      </c>
      <c r="I325">
        <v>3</v>
      </c>
      <c r="J325">
        <v>52</v>
      </c>
      <c r="K325">
        <v>7</v>
      </c>
      <c r="L325" t="s">
        <v>19</v>
      </c>
      <c r="M325">
        <v>272</v>
      </c>
    </row>
    <row r="326" spans="1:13">
      <c r="A326">
        <f t="shared" ca="1" si="5"/>
        <v>0.59658038735376562</v>
      </c>
      <c r="B326">
        <v>325</v>
      </c>
      <c r="C326" t="s">
        <v>7</v>
      </c>
      <c r="D326">
        <v>2</v>
      </c>
      <c r="E326" t="s">
        <v>140</v>
      </c>
      <c r="F326" t="s">
        <v>14</v>
      </c>
      <c r="G326">
        <v>0.6</v>
      </c>
      <c r="H326">
        <v>2</v>
      </c>
      <c r="I326">
        <v>4</v>
      </c>
      <c r="J326">
        <v>32</v>
      </c>
      <c r="K326">
        <v>4</v>
      </c>
      <c r="L326" t="s">
        <v>19</v>
      </c>
      <c r="M326">
        <v>443</v>
      </c>
    </row>
    <row r="327" spans="1:13">
      <c r="A327">
        <f t="shared" ca="1" si="5"/>
        <v>0.87523775770587375</v>
      </c>
      <c r="B327">
        <v>326</v>
      </c>
      <c r="C327" t="s">
        <v>8</v>
      </c>
      <c r="D327">
        <v>5</v>
      </c>
      <c r="E327" t="s">
        <v>136</v>
      </c>
      <c r="F327" t="s">
        <v>16</v>
      </c>
      <c r="G327">
        <v>1</v>
      </c>
      <c r="H327">
        <v>2</v>
      </c>
      <c r="I327">
        <v>2</v>
      </c>
      <c r="J327">
        <v>29</v>
      </c>
      <c r="K327">
        <v>5</v>
      </c>
      <c r="L327" t="s">
        <v>30</v>
      </c>
      <c r="M327">
        <v>232</v>
      </c>
    </row>
    <row r="328" spans="1:13">
      <c r="A328">
        <f t="shared" ca="1" si="5"/>
        <v>0.11069958042980688</v>
      </c>
      <c r="B328">
        <v>327</v>
      </c>
      <c r="C328" t="s">
        <v>8</v>
      </c>
      <c r="D328">
        <v>3</v>
      </c>
      <c r="E328" t="s">
        <v>135</v>
      </c>
      <c r="F328" t="s">
        <v>16</v>
      </c>
      <c r="G328">
        <v>1</v>
      </c>
      <c r="H328">
        <v>3</v>
      </c>
      <c r="I328">
        <v>1</v>
      </c>
      <c r="J328">
        <v>48</v>
      </c>
      <c r="K328">
        <v>6</v>
      </c>
      <c r="L328" t="s">
        <v>19</v>
      </c>
      <c r="M328">
        <v>104</v>
      </c>
    </row>
    <row r="329" spans="1:13">
      <c r="A329">
        <f t="shared" ca="1" si="5"/>
        <v>0.60937418457487669</v>
      </c>
      <c r="B329">
        <v>328</v>
      </c>
      <c r="C329" t="s">
        <v>8</v>
      </c>
      <c r="D329">
        <v>2</v>
      </c>
      <c r="E329" t="s">
        <v>140</v>
      </c>
      <c r="F329" t="s">
        <v>14</v>
      </c>
      <c r="G329">
        <v>1</v>
      </c>
      <c r="H329">
        <v>2</v>
      </c>
      <c r="I329">
        <v>4</v>
      </c>
      <c r="J329">
        <v>44</v>
      </c>
      <c r="K329">
        <v>6</v>
      </c>
      <c r="L329" t="s">
        <v>30</v>
      </c>
      <c r="M329">
        <v>435</v>
      </c>
    </row>
    <row r="330" spans="1:13">
      <c r="A330">
        <f t="shared" ca="1" si="5"/>
        <v>0.66213318457970727</v>
      </c>
      <c r="B330">
        <v>329</v>
      </c>
      <c r="C330" t="s">
        <v>7</v>
      </c>
      <c r="D330">
        <v>3</v>
      </c>
      <c r="E330" t="s">
        <v>135</v>
      </c>
      <c r="F330" t="s">
        <v>16</v>
      </c>
      <c r="G330">
        <v>1</v>
      </c>
      <c r="H330">
        <v>3</v>
      </c>
      <c r="I330">
        <v>1</v>
      </c>
      <c r="J330">
        <v>28</v>
      </c>
      <c r="K330">
        <v>7</v>
      </c>
      <c r="L330" t="s">
        <v>26</v>
      </c>
      <c r="M330">
        <v>107</v>
      </c>
    </row>
    <row r="331" spans="1:13">
      <c r="A331">
        <f t="shared" ca="1" si="5"/>
        <v>0.56833642240775872</v>
      </c>
      <c r="B331">
        <v>330</v>
      </c>
      <c r="C331" t="s">
        <v>7</v>
      </c>
      <c r="D331">
        <v>3</v>
      </c>
      <c r="E331" t="s">
        <v>135</v>
      </c>
      <c r="F331" t="s">
        <v>14</v>
      </c>
      <c r="G331">
        <v>0.9</v>
      </c>
      <c r="H331">
        <v>1</v>
      </c>
      <c r="I331">
        <v>5</v>
      </c>
      <c r="J331">
        <v>49</v>
      </c>
      <c r="K331">
        <v>5</v>
      </c>
      <c r="L331" t="s">
        <v>19</v>
      </c>
      <c r="M331">
        <v>475</v>
      </c>
    </row>
    <row r="332" spans="1:13">
      <c r="A332">
        <f t="shared" ca="1" si="5"/>
        <v>0.84827678805495765</v>
      </c>
      <c r="B332">
        <v>331</v>
      </c>
      <c r="C332" t="s">
        <v>8</v>
      </c>
      <c r="D332">
        <v>1</v>
      </c>
      <c r="E332" t="s">
        <v>134</v>
      </c>
      <c r="F332" t="s">
        <v>16</v>
      </c>
      <c r="G332">
        <v>1</v>
      </c>
      <c r="H332">
        <v>3</v>
      </c>
      <c r="I332">
        <v>4</v>
      </c>
      <c r="J332">
        <v>34</v>
      </c>
      <c r="K332">
        <v>9</v>
      </c>
      <c r="L332" t="s">
        <v>19</v>
      </c>
      <c r="M332">
        <v>437</v>
      </c>
    </row>
    <row r="333" spans="1:13">
      <c r="A333">
        <f t="shared" ca="1" si="5"/>
        <v>0.90575768905088694</v>
      </c>
      <c r="B333">
        <v>332</v>
      </c>
      <c r="C333" t="s">
        <v>8</v>
      </c>
      <c r="D333">
        <v>1</v>
      </c>
      <c r="E333" t="s">
        <v>134</v>
      </c>
      <c r="F333" t="s">
        <v>14</v>
      </c>
      <c r="G333">
        <v>1</v>
      </c>
      <c r="H333">
        <v>4</v>
      </c>
      <c r="I333">
        <v>1</v>
      </c>
      <c r="J333">
        <v>26</v>
      </c>
      <c r="K333">
        <v>7</v>
      </c>
      <c r="L333" t="s">
        <v>19</v>
      </c>
      <c r="M333">
        <v>146</v>
      </c>
    </row>
    <row r="334" spans="1:13">
      <c r="A334">
        <f t="shared" ca="1" si="5"/>
        <v>0.81438982063904286</v>
      </c>
      <c r="B334">
        <v>333</v>
      </c>
      <c r="C334" t="s">
        <v>8</v>
      </c>
      <c r="D334">
        <v>1</v>
      </c>
      <c r="E334" t="s">
        <v>134</v>
      </c>
      <c r="F334" t="s">
        <v>16</v>
      </c>
      <c r="G334">
        <v>1</v>
      </c>
      <c r="H334">
        <v>2</v>
      </c>
      <c r="I334">
        <v>0</v>
      </c>
      <c r="J334">
        <v>42</v>
      </c>
      <c r="K334">
        <v>1</v>
      </c>
      <c r="L334" t="s">
        <v>19</v>
      </c>
      <c r="M334">
        <v>48</v>
      </c>
    </row>
    <row r="335" spans="1:13">
      <c r="A335">
        <f t="shared" ca="1" si="5"/>
        <v>0.26767908105708926</v>
      </c>
      <c r="B335">
        <v>334</v>
      </c>
      <c r="C335" t="s">
        <v>8</v>
      </c>
      <c r="D335">
        <v>1</v>
      </c>
      <c r="E335" t="s">
        <v>134</v>
      </c>
      <c r="F335" t="s">
        <v>15</v>
      </c>
      <c r="G335">
        <v>1</v>
      </c>
      <c r="H335">
        <v>3</v>
      </c>
      <c r="I335">
        <v>3</v>
      </c>
      <c r="J335">
        <v>33</v>
      </c>
      <c r="K335">
        <v>4</v>
      </c>
      <c r="L335" t="s">
        <v>30</v>
      </c>
      <c r="M335">
        <v>349</v>
      </c>
    </row>
    <row r="336" spans="1:13">
      <c r="A336">
        <f t="shared" ca="1" si="5"/>
        <v>0.17968528880243084</v>
      </c>
      <c r="B336">
        <v>335</v>
      </c>
      <c r="C336" t="s">
        <v>8</v>
      </c>
      <c r="D336">
        <v>1</v>
      </c>
      <c r="E336" t="s">
        <v>134</v>
      </c>
      <c r="F336" t="s">
        <v>14</v>
      </c>
      <c r="G336">
        <v>1</v>
      </c>
      <c r="H336">
        <v>3</v>
      </c>
      <c r="I336">
        <v>3</v>
      </c>
      <c r="J336">
        <v>48</v>
      </c>
      <c r="K336">
        <v>6</v>
      </c>
      <c r="L336" t="s">
        <v>19</v>
      </c>
      <c r="M336">
        <v>385</v>
      </c>
    </row>
    <row r="337" spans="1:13">
      <c r="A337">
        <f t="shared" ca="1" si="5"/>
        <v>0.48082899230887832</v>
      </c>
      <c r="B337">
        <v>336</v>
      </c>
      <c r="C337" t="s">
        <v>8</v>
      </c>
      <c r="D337">
        <v>1</v>
      </c>
      <c r="E337" t="s">
        <v>134</v>
      </c>
      <c r="F337" t="s">
        <v>16</v>
      </c>
      <c r="G337">
        <v>1</v>
      </c>
      <c r="H337">
        <v>2</v>
      </c>
      <c r="I337">
        <v>3</v>
      </c>
      <c r="J337">
        <v>45</v>
      </c>
      <c r="K337">
        <v>3</v>
      </c>
      <c r="L337" t="s">
        <v>31</v>
      </c>
      <c r="M337">
        <v>289</v>
      </c>
    </row>
    <row r="338" spans="1:13">
      <c r="A338">
        <f t="shared" ca="1" si="5"/>
        <v>0.41203066045886805</v>
      </c>
      <c r="B338">
        <v>337</v>
      </c>
      <c r="C338" t="s">
        <v>8</v>
      </c>
      <c r="D338">
        <v>5</v>
      </c>
      <c r="E338" t="s">
        <v>136</v>
      </c>
      <c r="F338" t="s">
        <v>17</v>
      </c>
      <c r="G338">
        <v>1</v>
      </c>
      <c r="H338">
        <v>2</v>
      </c>
      <c r="I338">
        <v>1</v>
      </c>
      <c r="J338">
        <v>30</v>
      </c>
      <c r="K338">
        <v>1</v>
      </c>
      <c r="L338" t="s">
        <v>19</v>
      </c>
      <c r="M338">
        <v>157</v>
      </c>
    </row>
    <row r="339" spans="1:13">
      <c r="A339">
        <f t="shared" ca="1" si="5"/>
        <v>0.17152222009422557</v>
      </c>
      <c r="B339">
        <v>338</v>
      </c>
      <c r="C339" t="s">
        <v>7</v>
      </c>
      <c r="D339">
        <v>1</v>
      </c>
      <c r="E339" t="s">
        <v>134</v>
      </c>
      <c r="F339" t="s">
        <v>14</v>
      </c>
      <c r="G339">
        <v>1</v>
      </c>
      <c r="H339">
        <v>2</v>
      </c>
      <c r="I339">
        <v>3</v>
      </c>
      <c r="J339">
        <v>32</v>
      </c>
      <c r="K339">
        <v>6</v>
      </c>
      <c r="L339" t="s">
        <v>31</v>
      </c>
      <c r="M339">
        <v>301</v>
      </c>
    </row>
    <row r="340" spans="1:13">
      <c r="A340">
        <f t="shared" ca="1" si="5"/>
        <v>0.4131427409906232</v>
      </c>
      <c r="B340">
        <v>339</v>
      </c>
      <c r="C340" t="s">
        <v>7</v>
      </c>
      <c r="D340">
        <v>3</v>
      </c>
      <c r="E340" t="s">
        <v>135</v>
      </c>
      <c r="F340" t="s">
        <v>16</v>
      </c>
      <c r="G340">
        <v>1</v>
      </c>
      <c r="H340">
        <v>1</v>
      </c>
      <c r="I340">
        <v>1</v>
      </c>
      <c r="J340">
        <v>38</v>
      </c>
      <c r="K340">
        <v>4</v>
      </c>
      <c r="L340" t="s">
        <v>19</v>
      </c>
      <c r="M340">
        <v>122</v>
      </c>
    </row>
    <row r="341" spans="1:13">
      <c r="A341">
        <f t="shared" ca="1" si="5"/>
        <v>0.9467023943246371</v>
      </c>
      <c r="B341">
        <v>340</v>
      </c>
      <c r="C341" t="s">
        <v>8</v>
      </c>
      <c r="D341">
        <v>2</v>
      </c>
      <c r="E341" t="s">
        <v>140</v>
      </c>
      <c r="F341" t="s">
        <v>15</v>
      </c>
      <c r="G341">
        <v>1</v>
      </c>
      <c r="H341">
        <v>3</v>
      </c>
      <c r="I341">
        <v>3</v>
      </c>
      <c r="J341">
        <v>40</v>
      </c>
      <c r="K341">
        <v>6</v>
      </c>
      <c r="L341" t="s">
        <v>31</v>
      </c>
      <c r="M341">
        <v>266</v>
      </c>
    </row>
    <row r="342" spans="1:13">
      <c r="A342">
        <f t="shared" ca="1" si="5"/>
        <v>0.60446754289890359</v>
      </c>
      <c r="B342">
        <v>341</v>
      </c>
      <c r="C342" t="s">
        <v>8</v>
      </c>
      <c r="D342">
        <v>1</v>
      </c>
      <c r="E342" t="s">
        <v>134</v>
      </c>
      <c r="F342" t="s">
        <v>16</v>
      </c>
      <c r="G342">
        <v>1</v>
      </c>
      <c r="H342">
        <v>2</v>
      </c>
      <c r="I342">
        <v>1</v>
      </c>
      <c r="J342">
        <v>45</v>
      </c>
      <c r="K342">
        <v>0</v>
      </c>
      <c r="L342" t="s">
        <v>19</v>
      </c>
      <c r="M342">
        <v>72</v>
      </c>
    </row>
    <row r="343" spans="1:13">
      <c r="A343">
        <f t="shared" ca="1" si="5"/>
        <v>0.73953816252665283</v>
      </c>
      <c r="B343">
        <v>342</v>
      </c>
      <c r="C343" t="s">
        <v>7</v>
      </c>
      <c r="D343">
        <v>3</v>
      </c>
      <c r="E343" t="s">
        <v>135</v>
      </c>
      <c r="F343" t="s">
        <v>12</v>
      </c>
      <c r="G343">
        <v>0.9</v>
      </c>
      <c r="H343">
        <v>2</v>
      </c>
      <c r="I343">
        <v>3</v>
      </c>
      <c r="J343">
        <v>29</v>
      </c>
      <c r="K343">
        <v>3</v>
      </c>
      <c r="L343" t="s">
        <v>19</v>
      </c>
      <c r="M343">
        <v>321</v>
      </c>
    </row>
    <row r="344" spans="1:13">
      <c r="A344">
        <f t="shared" ca="1" si="5"/>
        <v>0.81364960812316156</v>
      </c>
      <c r="B344">
        <v>343</v>
      </c>
      <c r="C344" t="s">
        <v>7</v>
      </c>
      <c r="D344">
        <v>6</v>
      </c>
      <c r="E344" t="s">
        <v>139</v>
      </c>
      <c r="F344" t="s">
        <v>13</v>
      </c>
      <c r="G344">
        <v>1</v>
      </c>
      <c r="H344">
        <v>2</v>
      </c>
      <c r="I344">
        <v>2</v>
      </c>
      <c r="J344">
        <v>31</v>
      </c>
      <c r="K344">
        <v>3</v>
      </c>
      <c r="L344" t="s">
        <v>19</v>
      </c>
      <c r="M344">
        <v>171</v>
      </c>
    </row>
    <row r="345" spans="1:13">
      <c r="A345">
        <f t="shared" ca="1" si="5"/>
        <v>0.88032742359676375</v>
      </c>
      <c r="B345">
        <v>344</v>
      </c>
      <c r="C345" t="s">
        <v>8</v>
      </c>
      <c r="D345">
        <v>3</v>
      </c>
      <c r="E345" t="s">
        <v>135</v>
      </c>
      <c r="F345" t="s">
        <v>14</v>
      </c>
      <c r="G345">
        <v>1</v>
      </c>
      <c r="H345">
        <v>3</v>
      </c>
      <c r="I345">
        <v>1</v>
      </c>
      <c r="J345">
        <v>23</v>
      </c>
      <c r="K345">
        <v>1</v>
      </c>
      <c r="L345" t="s">
        <v>30</v>
      </c>
      <c r="M345">
        <v>154</v>
      </c>
    </row>
    <row r="346" spans="1:13">
      <c r="A346">
        <f t="shared" ca="1" si="5"/>
        <v>0.9324954305768518</v>
      </c>
      <c r="B346">
        <v>345</v>
      </c>
      <c r="C346" t="s">
        <v>7</v>
      </c>
      <c r="D346">
        <v>1</v>
      </c>
      <c r="E346" t="s">
        <v>134</v>
      </c>
      <c r="F346" t="s">
        <v>16</v>
      </c>
      <c r="G346">
        <v>1</v>
      </c>
      <c r="H346">
        <v>3</v>
      </c>
      <c r="I346">
        <v>0</v>
      </c>
      <c r="J346">
        <v>33</v>
      </c>
      <c r="K346">
        <v>7</v>
      </c>
      <c r="L346" t="s">
        <v>19</v>
      </c>
      <c r="M346">
        <v>34</v>
      </c>
    </row>
    <row r="347" spans="1:13">
      <c r="A347">
        <f t="shared" ca="1" si="5"/>
        <v>0.76944023213817458</v>
      </c>
      <c r="B347">
        <v>346</v>
      </c>
      <c r="C347" t="s">
        <v>8</v>
      </c>
      <c r="D347">
        <v>3</v>
      </c>
      <c r="E347" t="s">
        <v>135</v>
      </c>
      <c r="F347" t="s">
        <v>15</v>
      </c>
      <c r="G347">
        <v>1</v>
      </c>
      <c r="H347">
        <v>3</v>
      </c>
      <c r="I347">
        <v>3</v>
      </c>
      <c r="J347">
        <v>47</v>
      </c>
      <c r="K347">
        <v>7</v>
      </c>
      <c r="L347" t="s">
        <v>41</v>
      </c>
      <c r="M347">
        <v>361</v>
      </c>
    </row>
    <row r="348" spans="1:13">
      <c r="A348">
        <f t="shared" ca="1" si="5"/>
        <v>0.24317370011108985</v>
      </c>
      <c r="B348">
        <v>347</v>
      </c>
      <c r="C348" t="s">
        <v>8</v>
      </c>
      <c r="D348">
        <v>4</v>
      </c>
      <c r="E348" t="s">
        <v>137</v>
      </c>
      <c r="F348" t="s">
        <v>14</v>
      </c>
      <c r="G348">
        <v>1</v>
      </c>
      <c r="H348">
        <v>2</v>
      </c>
      <c r="I348">
        <v>0</v>
      </c>
      <c r="J348">
        <v>48</v>
      </c>
      <c r="K348">
        <v>6</v>
      </c>
      <c r="L348" t="s">
        <v>19</v>
      </c>
      <c r="M348">
        <v>21</v>
      </c>
    </row>
    <row r="349" spans="1:13">
      <c r="A349">
        <f t="shared" ca="1" si="5"/>
        <v>0.8547445117528758</v>
      </c>
      <c r="B349">
        <v>348</v>
      </c>
      <c r="C349" t="s">
        <v>8</v>
      </c>
      <c r="D349">
        <v>2</v>
      </c>
      <c r="E349" t="s">
        <v>140</v>
      </c>
      <c r="F349" t="s">
        <v>14</v>
      </c>
      <c r="G349">
        <v>1</v>
      </c>
      <c r="H349">
        <v>2</v>
      </c>
      <c r="I349">
        <v>0</v>
      </c>
      <c r="J349">
        <v>43</v>
      </c>
      <c r="K349">
        <v>4</v>
      </c>
      <c r="L349" t="s">
        <v>36</v>
      </c>
      <c r="M349">
        <v>31</v>
      </c>
    </row>
    <row r="350" spans="1:13">
      <c r="A350">
        <f t="shared" ca="1" si="5"/>
        <v>0.20588674179977207</v>
      </c>
      <c r="B350">
        <v>349</v>
      </c>
      <c r="C350" t="s">
        <v>8</v>
      </c>
      <c r="D350">
        <v>1</v>
      </c>
      <c r="E350" t="s">
        <v>134</v>
      </c>
      <c r="F350" t="s">
        <v>14</v>
      </c>
      <c r="G350">
        <v>1</v>
      </c>
      <c r="H350">
        <v>2</v>
      </c>
      <c r="I350">
        <v>0</v>
      </c>
      <c r="J350">
        <v>46</v>
      </c>
      <c r="K350">
        <v>7</v>
      </c>
      <c r="L350" t="s">
        <v>30</v>
      </c>
      <c r="M350">
        <v>15</v>
      </c>
    </row>
    <row r="351" spans="1:13">
      <c r="A351">
        <f t="shared" ca="1" si="5"/>
        <v>0.2618264601510113</v>
      </c>
      <c r="B351">
        <v>350</v>
      </c>
      <c r="C351" t="s">
        <v>8</v>
      </c>
      <c r="D351">
        <v>1</v>
      </c>
      <c r="E351" t="s">
        <v>134</v>
      </c>
      <c r="F351" t="s">
        <v>14</v>
      </c>
      <c r="G351">
        <v>1</v>
      </c>
      <c r="H351">
        <v>2</v>
      </c>
      <c r="I351">
        <v>3</v>
      </c>
      <c r="J351">
        <v>59</v>
      </c>
      <c r="K351">
        <v>9</v>
      </c>
      <c r="L351" t="s">
        <v>30</v>
      </c>
      <c r="M351">
        <v>409</v>
      </c>
    </row>
    <row r="352" spans="1:13">
      <c r="A352">
        <f t="shared" ca="1" si="5"/>
        <v>0.49845277627787976</v>
      </c>
      <c r="B352">
        <v>351</v>
      </c>
      <c r="C352" t="s">
        <v>8</v>
      </c>
      <c r="D352">
        <v>3</v>
      </c>
      <c r="E352" t="s">
        <v>135</v>
      </c>
      <c r="F352" t="s">
        <v>16</v>
      </c>
      <c r="G352">
        <v>1</v>
      </c>
      <c r="H352">
        <v>3</v>
      </c>
      <c r="I352">
        <v>0</v>
      </c>
      <c r="J352">
        <v>48</v>
      </c>
      <c r="K352">
        <v>3</v>
      </c>
      <c r="L352" t="s">
        <v>30</v>
      </c>
      <c r="M352">
        <v>20</v>
      </c>
    </row>
    <row r="353" spans="1:13">
      <c r="A353">
        <f t="shared" ca="1" si="5"/>
        <v>0.555264729411447</v>
      </c>
      <c r="B353">
        <v>352</v>
      </c>
      <c r="C353" t="s">
        <v>8</v>
      </c>
      <c r="D353">
        <v>2</v>
      </c>
      <c r="E353" t="s">
        <v>140</v>
      </c>
      <c r="F353" t="s">
        <v>15</v>
      </c>
      <c r="G353">
        <v>1</v>
      </c>
      <c r="H353">
        <v>3</v>
      </c>
      <c r="I353">
        <v>3</v>
      </c>
      <c r="J353">
        <v>44</v>
      </c>
      <c r="K353">
        <v>9</v>
      </c>
      <c r="L353" t="s">
        <v>19</v>
      </c>
      <c r="M353">
        <v>388</v>
      </c>
    </row>
    <row r="354" spans="1:13">
      <c r="A354">
        <f t="shared" ca="1" si="5"/>
        <v>6.374787775165025E-2</v>
      </c>
      <c r="B354">
        <v>353</v>
      </c>
      <c r="C354" t="s">
        <v>8</v>
      </c>
      <c r="D354">
        <v>2</v>
      </c>
      <c r="E354" t="s">
        <v>140</v>
      </c>
      <c r="F354" t="s">
        <v>16</v>
      </c>
      <c r="G354">
        <v>1</v>
      </c>
      <c r="H354">
        <v>3</v>
      </c>
      <c r="I354">
        <v>1</v>
      </c>
      <c r="J354">
        <v>33</v>
      </c>
      <c r="K354">
        <v>4</v>
      </c>
      <c r="L354" t="s">
        <v>30</v>
      </c>
      <c r="M354">
        <v>93</v>
      </c>
    </row>
    <row r="355" spans="1:13">
      <c r="A355">
        <f t="shared" ca="1" si="5"/>
        <v>0.50310039018514718</v>
      </c>
      <c r="B355">
        <v>354</v>
      </c>
      <c r="C355" t="s">
        <v>8</v>
      </c>
      <c r="D355">
        <v>1</v>
      </c>
      <c r="E355" t="s">
        <v>134</v>
      </c>
      <c r="F355" t="s">
        <v>14</v>
      </c>
      <c r="G355">
        <v>1</v>
      </c>
      <c r="H355">
        <v>2</v>
      </c>
      <c r="I355">
        <v>1</v>
      </c>
      <c r="J355">
        <v>49</v>
      </c>
      <c r="K355">
        <v>0</v>
      </c>
      <c r="L355" t="s">
        <v>29</v>
      </c>
      <c r="M355">
        <v>148</v>
      </c>
    </row>
    <row r="356" spans="1:13">
      <c r="A356">
        <f t="shared" ca="1" si="5"/>
        <v>0.99604561576100259</v>
      </c>
      <c r="B356">
        <v>355</v>
      </c>
      <c r="C356" t="s">
        <v>8</v>
      </c>
      <c r="D356">
        <v>1</v>
      </c>
      <c r="E356" t="s">
        <v>134</v>
      </c>
      <c r="F356" t="s">
        <v>14</v>
      </c>
      <c r="G356">
        <v>1</v>
      </c>
      <c r="H356">
        <v>2</v>
      </c>
      <c r="I356">
        <v>3</v>
      </c>
      <c r="J356">
        <v>51</v>
      </c>
      <c r="K356">
        <v>0</v>
      </c>
      <c r="L356" t="s">
        <v>26</v>
      </c>
      <c r="M356">
        <v>345</v>
      </c>
    </row>
    <row r="357" spans="1:13">
      <c r="A357">
        <f t="shared" ca="1" si="5"/>
        <v>0.86889496891035323</v>
      </c>
      <c r="B357">
        <v>356</v>
      </c>
      <c r="C357" t="s">
        <v>8</v>
      </c>
      <c r="D357">
        <v>3</v>
      </c>
      <c r="E357" t="s">
        <v>135</v>
      </c>
      <c r="F357" t="s">
        <v>16</v>
      </c>
      <c r="G357">
        <v>1</v>
      </c>
      <c r="H357">
        <v>3</v>
      </c>
      <c r="I357">
        <v>2</v>
      </c>
      <c r="J357">
        <v>42</v>
      </c>
      <c r="K357">
        <v>3</v>
      </c>
      <c r="L357" t="s">
        <v>19</v>
      </c>
      <c r="M357">
        <v>177</v>
      </c>
    </row>
    <row r="358" spans="1:13">
      <c r="A358">
        <f t="shared" ca="1" si="5"/>
        <v>0.73157348104997921</v>
      </c>
      <c r="B358">
        <v>357</v>
      </c>
      <c r="C358" t="s">
        <v>8</v>
      </c>
      <c r="D358">
        <v>1</v>
      </c>
      <c r="E358" t="s">
        <v>134</v>
      </c>
      <c r="F358" t="s">
        <v>14</v>
      </c>
      <c r="G358">
        <v>1</v>
      </c>
      <c r="H358">
        <v>3</v>
      </c>
      <c r="I358">
        <v>3</v>
      </c>
      <c r="J358">
        <v>48</v>
      </c>
      <c r="K358">
        <v>1</v>
      </c>
      <c r="L358" t="s">
        <v>19</v>
      </c>
      <c r="M358">
        <v>350</v>
      </c>
    </row>
    <row r="359" spans="1:13">
      <c r="A359">
        <f t="shared" ca="1" si="5"/>
        <v>0.38938209070697938</v>
      </c>
      <c r="B359">
        <v>358</v>
      </c>
      <c r="C359" t="s">
        <v>7</v>
      </c>
      <c r="D359">
        <v>2</v>
      </c>
      <c r="E359" t="s">
        <v>140</v>
      </c>
      <c r="F359" t="s">
        <v>14</v>
      </c>
      <c r="G359">
        <v>0.8</v>
      </c>
      <c r="H359">
        <v>3</v>
      </c>
      <c r="I359">
        <v>4</v>
      </c>
      <c r="J359">
        <v>23</v>
      </c>
      <c r="K359">
        <v>9</v>
      </c>
      <c r="L359" t="s">
        <v>31</v>
      </c>
      <c r="M359">
        <v>453</v>
      </c>
    </row>
    <row r="360" spans="1:13">
      <c r="A360">
        <f t="shared" ca="1" si="5"/>
        <v>0.31687821778579328</v>
      </c>
      <c r="B360">
        <v>359</v>
      </c>
      <c r="C360" t="s">
        <v>8</v>
      </c>
      <c r="D360">
        <v>2</v>
      </c>
      <c r="E360" t="s">
        <v>140</v>
      </c>
      <c r="F360" t="s">
        <v>16</v>
      </c>
      <c r="G360">
        <v>1</v>
      </c>
      <c r="H360">
        <v>3</v>
      </c>
      <c r="I360">
        <v>3</v>
      </c>
      <c r="J360">
        <v>43</v>
      </c>
      <c r="K360">
        <v>9</v>
      </c>
      <c r="L360" t="s">
        <v>38</v>
      </c>
      <c r="M360">
        <v>256</v>
      </c>
    </row>
    <row r="361" spans="1:13">
      <c r="A361">
        <f t="shared" ca="1" si="5"/>
        <v>0.67212740231485268</v>
      </c>
      <c r="B361">
        <v>360</v>
      </c>
      <c r="C361" t="s">
        <v>8</v>
      </c>
      <c r="D361">
        <v>2</v>
      </c>
      <c r="E361" t="s">
        <v>140</v>
      </c>
      <c r="F361" t="s">
        <v>15</v>
      </c>
      <c r="G361">
        <v>1</v>
      </c>
      <c r="H361">
        <v>2</v>
      </c>
      <c r="I361">
        <v>9</v>
      </c>
      <c r="J361">
        <v>27</v>
      </c>
      <c r="K361">
        <v>0</v>
      </c>
      <c r="L361" t="s">
        <v>26</v>
      </c>
      <c r="M361">
        <v>496</v>
      </c>
    </row>
    <row r="362" spans="1:13">
      <c r="A362">
        <f t="shared" ca="1" si="5"/>
        <v>0.56141564533405974</v>
      </c>
      <c r="B362">
        <v>361</v>
      </c>
      <c r="C362" t="s">
        <v>8</v>
      </c>
      <c r="D362">
        <v>4</v>
      </c>
      <c r="E362" t="s">
        <v>137</v>
      </c>
      <c r="F362" t="s">
        <v>15</v>
      </c>
      <c r="G362">
        <v>1</v>
      </c>
      <c r="H362">
        <v>2</v>
      </c>
      <c r="I362">
        <v>4</v>
      </c>
      <c r="J362">
        <v>37</v>
      </c>
      <c r="K362">
        <v>9</v>
      </c>
      <c r="L362" t="s">
        <v>19</v>
      </c>
      <c r="M362">
        <v>450</v>
      </c>
    </row>
    <row r="363" spans="1:13">
      <c r="A363">
        <f t="shared" ca="1" si="5"/>
        <v>0.47175403957635365</v>
      </c>
      <c r="B363">
        <v>362</v>
      </c>
      <c r="C363" t="s">
        <v>8</v>
      </c>
      <c r="D363">
        <v>1</v>
      </c>
      <c r="E363" t="s">
        <v>134</v>
      </c>
      <c r="F363" t="s">
        <v>14</v>
      </c>
      <c r="G363">
        <v>1</v>
      </c>
      <c r="H363">
        <v>2</v>
      </c>
      <c r="I363">
        <v>2</v>
      </c>
      <c r="J363">
        <v>56</v>
      </c>
      <c r="K363">
        <v>9</v>
      </c>
      <c r="L363" t="s">
        <v>38</v>
      </c>
      <c r="M363">
        <v>239</v>
      </c>
    </row>
    <row r="364" spans="1:13">
      <c r="A364">
        <f t="shared" ca="1" si="5"/>
        <v>0.69881214410030645</v>
      </c>
      <c r="B364">
        <v>363</v>
      </c>
      <c r="C364" t="s">
        <v>8</v>
      </c>
      <c r="D364">
        <v>6</v>
      </c>
      <c r="E364" t="s">
        <v>139</v>
      </c>
      <c r="F364" t="s">
        <v>17</v>
      </c>
      <c r="G364">
        <v>1</v>
      </c>
      <c r="H364">
        <v>3</v>
      </c>
      <c r="I364">
        <v>6</v>
      </c>
      <c r="J364">
        <v>46</v>
      </c>
      <c r="K364">
        <v>7</v>
      </c>
      <c r="L364" t="s">
        <v>31</v>
      </c>
      <c r="M364">
        <v>489</v>
      </c>
    </row>
    <row r="365" spans="1:13">
      <c r="A365">
        <f t="shared" ca="1" si="5"/>
        <v>0.15375600735562089</v>
      </c>
      <c r="B365">
        <v>364</v>
      </c>
      <c r="C365" t="s">
        <v>8</v>
      </c>
      <c r="D365">
        <v>2</v>
      </c>
      <c r="E365" t="s">
        <v>140</v>
      </c>
      <c r="F365" t="s">
        <v>14</v>
      </c>
      <c r="G365">
        <v>1</v>
      </c>
      <c r="H365">
        <v>2</v>
      </c>
      <c r="I365">
        <v>1</v>
      </c>
      <c r="J365">
        <v>38</v>
      </c>
      <c r="K365">
        <v>2</v>
      </c>
      <c r="L365" t="s">
        <v>31</v>
      </c>
      <c r="M365">
        <v>73</v>
      </c>
    </row>
    <row r="366" spans="1:13">
      <c r="A366">
        <f t="shared" ca="1" si="5"/>
        <v>0.50448607124684031</v>
      </c>
      <c r="B366">
        <v>365</v>
      </c>
      <c r="C366" t="s">
        <v>8</v>
      </c>
      <c r="D366">
        <v>3</v>
      </c>
      <c r="E366" t="s">
        <v>135</v>
      </c>
      <c r="F366" t="s">
        <v>16</v>
      </c>
      <c r="G366">
        <v>1</v>
      </c>
      <c r="H366">
        <v>2</v>
      </c>
      <c r="I366">
        <v>2</v>
      </c>
      <c r="J366">
        <v>30</v>
      </c>
      <c r="K366">
        <v>9</v>
      </c>
      <c r="L366" t="s">
        <v>19</v>
      </c>
      <c r="M366">
        <v>229</v>
      </c>
    </row>
    <row r="367" spans="1:13">
      <c r="A367">
        <f t="shared" ca="1" si="5"/>
        <v>0.81220121145987689</v>
      </c>
      <c r="B367">
        <v>366</v>
      </c>
      <c r="C367" t="s">
        <v>8</v>
      </c>
      <c r="D367">
        <v>1</v>
      </c>
      <c r="E367" t="s">
        <v>134</v>
      </c>
      <c r="F367" t="s">
        <v>12</v>
      </c>
      <c r="G367">
        <v>1</v>
      </c>
      <c r="H367">
        <v>2</v>
      </c>
      <c r="I367">
        <v>3</v>
      </c>
      <c r="J367">
        <v>55</v>
      </c>
      <c r="K367">
        <v>3</v>
      </c>
      <c r="L367" t="s">
        <v>19</v>
      </c>
      <c r="M367">
        <v>415</v>
      </c>
    </row>
    <row r="368" spans="1:13">
      <c r="A368">
        <f t="shared" ca="1" si="5"/>
        <v>0.67566845170759016</v>
      </c>
      <c r="B368">
        <v>367</v>
      </c>
      <c r="C368" t="s">
        <v>8</v>
      </c>
      <c r="D368">
        <v>2</v>
      </c>
      <c r="E368" t="s">
        <v>140</v>
      </c>
      <c r="F368" t="s">
        <v>16</v>
      </c>
      <c r="G368">
        <v>1</v>
      </c>
      <c r="H368">
        <v>2</v>
      </c>
      <c r="I368">
        <v>3</v>
      </c>
      <c r="J368">
        <v>34</v>
      </c>
      <c r="K368">
        <v>0</v>
      </c>
      <c r="L368" t="s">
        <v>19</v>
      </c>
      <c r="M368">
        <v>370</v>
      </c>
    </row>
    <row r="369" spans="1:13">
      <c r="A369">
        <f t="shared" ca="1" si="5"/>
        <v>0.43006555115574352</v>
      </c>
      <c r="B369">
        <v>368</v>
      </c>
      <c r="C369" t="s">
        <v>8</v>
      </c>
      <c r="D369">
        <v>2</v>
      </c>
      <c r="E369" t="s">
        <v>140</v>
      </c>
      <c r="F369" t="s">
        <v>16</v>
      </c>
      <c r="G369">
        <v>1</v>
      </c>
      <c r="H369">
        <v>2</v>
      </c>
      <c r="I369">
        <v>0</v>
      </c>
      <c r="J369">
        <v>55</v>
      </c>
      <c r="K369">
        <v>0</v>
      </c>
      <c r="L369" t="s">
        <v>19</v>
      </c>
      <c r="M369">
        <v>11</v>
      </c>
    </row>
    <row r="370" spans="1:13">
      <c r="A370">
        <f t="shared" ca="1" si="5"/>
        <v>0.61234879184906132</v>
      </c>
      <c r="B370">
        <v>369</v>
      </c>
      <c r="C370" t="s">
        <v>7</v>
      </c>
      <c r="D370">
        <v>2</v>
      </c>
      <c r="E370" t="s">
        <v>140</v>
      </c>
      <c r="F370" t="s">
        <v>16</v>
      </c>
      <c r="G370">
        <v>1</v>
      </c>
      <c r="H370">
        <v>3</v>
      </c>
      <c r="I370">
        <v>3</v>
      </c>
      <c r="J370">
        <v>47</v>
      </c>
      <c r="K370">
        <v>9</v>
      </c>
      <c r="L370" t="s">
        <v>28</v>
      </c>
      <c r="M370">
        <v>400</v>
      </c>
    </row>
    <row r="371" spans="1:13">
      <c r="A371">
        <f t="shared" ca="1" si="5"/>
        <v>0.30257936088562032</v>
      </c>
      <c r="B371">
        <v>370</v>
      </c>
      <c r="C371" t="s">
        <v>8</v>
      </c>
      <c r="D371">
        <v>1</v>
      </c>
      <c r="E371" t="s">
        <v>134</v>
      </c>
      <c r="F371" t="s">
        <v>14</v>
      </c>
      <c r="G371">
        <v>1</v>
      </c>
      <c r="H371">
        <v>2</v>
      </c>
      <c r="I371">
        <v>4</v>
      </c>
      <c r="J371">
        <v>58</v>
      </c>
      <c r="K371">
        <v>4</v>
      </c>
      <c r="L371" t="s">
        <v>19</v>
      </c>
      <c r="M371">
        <v>446</v>
      </c>
    </row>
    <row r="372" spans="1:13">
      <c r="A372">
        <f t="shared" ca="1" si="5"/>
        <v>0.54503816003965955</v>
      </c>
      <c r="B372">
        <v>371</v>
      </c>
      <c r="C372" t="s">
        <v>8</v>
      </c>
      <c r="D372">
        <v>1</v>
      </c>
      <c r="E372" t="s">
        <v>134</v>
      </c>
      <c r="F372" t="s">
        <v>14</v>
      </c>
      <c r="G372">
        <v>1</v>
      </c>
      <c r="H372">
        <v>3</v>
      </c>
      <c r="I372">
        <v>5</v>
      </c>
      <c r="J372">
        <v>51</v>
      </c>
      <c r="K372">
        <v>1</v>
      </c>
      <c r="L372" t="s">
        <v>19</v>
      </c>
      <c r="M372">
        <v>484</v>
      </c>
    </row>
    <row r="373" spans="1:13">
      <c r="A373">
        <f t="shared" ca="1" si="5"/>
        <v>0.42147146034217275</v>
      </c>
      <c r="B373">
        <v>372</v>
      </c>
      <c r="C373" t="s">
        <v>8</v>
      </c>
      <c r="D373">
        <v>4</v>
      </c>
      <c r="E373" t="s">
        <v>137</v>
      </c>
      <c r="F373" t="s">
        <v>16</v>
      </c>
      <c r="G373">
        <v>1</v>
      </c>
      <c r="H373">
        <v>2</v>
      </c>
      <c r="I373">
        <v>4</v>
      </c>
      <c r="J373">
        <v>35</v>
      </c>
      <c r="K373">
        <v>5</v>
      </c>
      <c r="L373" t="s">
        <v>31</v>
      </c>
      <c r="M373">
        <v>438</v>
      </c>
    </row>
    <row r="374" spans="1:13">
      <c r="A374">
        <f t="shared" ca="1" si="5"/>
        <v>0.55953970232088912</v>
      </c>
      <c r="B374">
        <v>373</v>
      </c>
      <c r="C374" t="s">
        <v>8</v>
      </c>
      <c r="D374">
        <v>3</v>
      </c>
      <c r="E374" t="s">
        <v>135</v>
      </c>
      <c r="F374" t="s">
        <v>14</v>
      </c>
      <c r="G374">
        <v>1</v>
      </c>
      <c r="H374">
        <v>3</v>
      </c>
      <c r="I374">
        <v>1</v>
      </c>
      <c r="J374">
        <v>52</v>
      </c>
      <c r="K374">
        <v>8</v>
      </c>
      <c r="L374" t="s">
        <v>19</v>
      </c>
      <c r="M374">
        <v>52</v>
      </c>
    </row>
    <row r="375" spans="1:13">
      <c r="A375">
        <f t="shared" ca="1" si="5"/>
        <v>0.59241705460973015</v>
      </c>
      <c r="B375">
        <v>374</v>
      </c>
      <c r="C375" t="s">
        <v>7</v>
      </c>
      <c r="D375">
        <v>3</v>
      </c>
      <c r="E375" t="s">
        <v>135</v>
      </c>
      <c r="F375" t="s">
        <v>15</v>
      </c>
      <c r="G375">
        <v>1</v>
      </c>
      <c r="H375">
        <v>3</v>
      </c>
      <c r="I375">
        <v>2</v>
      </c>
      <c r="J375">
        <v>29</v>
      </c>
      <c r="K375">
        <v>6</v>
      </c>
      <c r="L375" t="s">
        <v>31</v>
      </c>
      <c r="M375">
        <v>196</v>
      </c>
    </row>
    <row r="376" spans="1:13">
      <c r="A376">
        <f t="shared" ca="1" si="5"/>
        <v>0.39605313471346926</v>
      </c>
      <c r="B376">
        <v>375</v>
      </c>
      <c r="C376" t="s">
        <v>8</v>
      </c>
      <c r="D376">
        <v>2</v>
      </c>
      <c r="E376" t="s">
        <v>140</v>
      </c>
      <c r="F376" t="s">
        <v>14</v>
      </c>
      <c r="G376">
        <v>1</v>
      </c>
      <c r="H376">
        <v>1</v>
      </c>
      <c r="I376">
        <v>3</v>
      </c>
      <c r="J376">
        <v>35</v>
      </c>
      <c r="K376">
        <v>9</v>
      </c>
      <c r="L376" t="s">
        <v>30</v>
      </c>
      <c r="M376">
        <v>328</v>
      </c>
    </row>
    <row r="377" spans="1:13">
      <c r="A377">
        <f t="shared" ca="1" si="5"/>
        <v>0.96303148039114961</v>
      </c>
      <c r="B377">
        <v>376</v>
      </c>
      <c r="C377" t="s">
        <v>8</v>
      </c>
      <c r="D377">
        <v>4</v>
      </c>
      <c r="E377" t="s">
        <v>137</v>
      </c>
      <c r="F377" t="s">
        <v>16</v>
      </c>
      <c r="G377">
        <v>1</v>
      </c>
      <c r="H377">
        <v>2</v>
      </c>
      <c r="I377">
        <v>2</v>
      </c>
      <c r="J377">
        <v>31</v>
      </c>
      <c r="K377">
        <v>3</v>
      </c>
      <c r="L377" t="s">
        <v>19</v>
      </c>
      <c r="M377">
        <v>241</v>
      </c>
    </row>
    <row r="378" spans="1:13">
      <c r="A378">
        <f t="shared" ca="1" si="5"/>
        <v>0.11330266701904856</v>
      </c>
      <c r="B378">
        <v>377</v>
      </c>
      <c r="C378" t="s">
        <v>7</v>
      </c>
      <c r="D378">
        <v>1</v>
      </c>
      <c r="E378" t="s">
        <v>134</v>
      </c>
      <c r="F378" t="s">
        <v>17</v>
      </c>
      <c r="G378">
        <v>1</v>
      </c>
      <c r="H378">
        <v>3</v>
      </c>
      <c r="I378">
        <v>1</v>
      </c>
      <c r="J378">
        <v>44</v>
      </c>
      <c r="K378">
        <v>5</v>
      </c>
      <c r="L378" t="s">
        <v>19</v>
      </c>
      <c r="M378">
        <v>112</v>
      </c>
    </row>
    <row r="379" spans="1:13">
      <c r="A379">
        <f t="shared" ca="1" si="5"/>
        <v>0.17757591568757425</v>
      </c>
      <c r="B379">
        <v>378</v>
      </c>
      <c r="C379" t="s">
        <v>8</v>
      </c>
      <c r="D379">
        <v>1</v>
      </c>
      <c r="E379" t="s">
        <v>134</v>
      </c>
      <c r="F379" t="s">
        <v>14</v>
      </c>
      <c r="G379">
        <v>1</v>
      </c>
      <c r="H379">
        <v>3</v>
      </c>
      <c r="I379">
        <v>3</v>
      </c>
      <c r="J379">
        <v>45</v>
      </c>
      <c r="K379">
        <v>0</v>
      </c>
      <c r="L379" t="s">
        <v>31</v>
      </c>
      <c r="M379">
        <v>359</v>
      </c>
    </row>
    <row r="380" spans="1:13">
      <c r="A380">
        <f t="shared" ca="1" si="5"/>
        <v>0.93373371103395542</v>
      </c>
      <c r="B380">
        <v>379</v>
      </c>
      <c r="C380" t="s">
        <v>8</v>
      </c>
      <c r="D380">
        <v>2</v>
      </c>
      <c r="E380" t="s">
        <v>140</v>
      </c>
      <c r="F380" t="s">
        <v>16</v>
      </c>
      <c r="G380">
        <v>1</v>
      </c>
      <c r="H380">
        <v>1</v>
      </c>
      <c r="I380">
        <v>1</v>
      </c>
      <c r="J380">
        <v>45</v>
      </c>
      <c r="K380">
        <v>7</v>
      </c>
      <c r="L380" t="s">
        <v>26</v>
      </c>
      <c r="M380">
        <v>144</v>
      </c>
    </row>
    <row r="381" spans="1:13">
      <c r="A381">
        <f t="shared" ca="1" si="5"/>
        <v>0.58029400933240405</v>
      </c>
      <c r="B381">
        <v>380</v>
      </c>
      <c r="C381" t="s">
        <v>8</v>
      </c>
      <c r="D381">
        <v>1</v>
      </c>
      <c r="E381" t="s">
        <v>134</v>
      </c>
      <c r="F381" t="s">
        <v>16</v>
      </c>
      <c r="G381">
        <v>1</v>
      </c>
      <c r="H381">
        <v>2</v>
      </c>
      <c r="I381">
        <v>9</v>
      </c>
      <c r="J381">
        <v>43</v>
      </c>
      <c r="K381">
        <v>1</v>
      </c>
      <c r="L381" t="s">
        <v>19</v>
      </c>
      <c r="M381">
        <v>498</v>
      </c>
    </row>
    <row r="382" spans="1:13">
      <c r="A382">
        <f t="shared" ca="1" si="5"/>
        <v>0.78391971100330005</v>
      </c>
      <c r="B382">
        <v>381</v>
      </c>
      <c r="C382" t="s">
        <v>8</v>
      </c>
      <c r="D382">
        <v>1</v>
      </c>
      <c r="E382" t="s">
        <v>134</v>
      </c>
      <c r="F382" t="s">
        <v>12</v>
      </c>
      <c r="G382">
        <v>1</v>
      </c>
      <c r="H382">
        <v>2</v>
      </c>
      <c r="I382">
        <v>0</v>
      </c>
      <c r="J382">
        <v>43</v>
      </c>
      <c r="K382">
        <v>7</v>
      </c>
      <c r="L382" t="s">
        <v>19</v>
      </c>
      <c r="M382">
        <v>41</v>
      </c>
    </row>
    <row r="383" spans="1:13">
      <c r="A383">
        <f t="shared" ca="1" si="5"/>
        <v>0.90798950304503434</v>
      </c>
      <c r="B383">
        <v>382</v>
      </c>
      <c r="C383" t="s">
        <v>8</v>
      </c>
      <c r="D383">
        <v>1</v>
      </c>
      <c r="E383" t="s">
        <v>134</v>
      </c>
      <c r="F383" t="s">
        <v>15</v>
      </c>
      <c r="G383">
        <v>1</v>
      </c>
      <c r="H383">
        <v>2</v>
      </c>
      <c r="I383">
        <v>1</v>
      </c>
      <c r="J383">
        <v>54</v>
      </c>
      <c r="K383">
        <v>5</v>
      </c>
      <c r="L383" t="s">
        <v>19</v>
      </c>
      <c r="M383">
        <v>110</v>
      </c>
    </row>
    <row r="384" spans="1:13">
      <c r="A384">
        <f t="shared" ca="1" si="5"/>
        <v>0.40650548901453853</v>
      </c>
      <c r="B384">
        <v>383</v>
      </c>
      <c r="C384" t="s">
        <v>8</v>
      </c>
      <c r="D384">
        <v>4</v>
      </c>
      <c r="E384" t="s">
        <v>137</v>
      </c>
      <c r="F384" t="s">
        <v>16</v>
      </c>
      <c r="G384">
        <v>1</v>
      </c>
      <c r="H384">
        <v>2</v>
      </c>
      <c r="I384">
        <v>3</v>
      </c>
      <c r="J384">
        <v>34</v>
      </c>
      <c r="K384">
        <v>9</v>
      </c>
      <c r="L384" t="s">
        <v>19</v>
      </c>
      <c r="M384">
        <v>386</v>
      </c>
    </row>
    <row r="385" spans="1:13">
      <c r="A385">
        <f t="shared" ca="1" si="5"/>
        <v>0.20329308658903666</v>
      </c>
      <c r="B385">
        <v>384</v>
      </c>
      <c r="C385" t="s">
        <v>8</v>
      </c>
      <c r="D385">
        <v>1</v>
      </c>
      <c r="E385" t="s">
        <v>134</v>
      </c>
      <c r="F385" t="s">
        <v>14</v>
      </c>
      <c r="G385">
        <v>1</v>
      </c>
      <c r="H385">
        <v>2</v>
      </c>
      <c r="I385">
        <v>0</v>
      </c>
      <c r="J385">
        <v>41</v>
      </c>
      <c r="K385">
        <v>0</v>
      </c>
      <c r="L385" t="s">
        <v>26</v>
      </c>
      <c r="M385">
        <v>12</v>
      </c>
    </row>
    <row r="386" spans="1:13">
      <c r="A386">
        <f t="shared" ref="A386:A449" ca="1" si="6">RAND()</f>
        <v>0.49265074870275571</v>
      </c>
      <c r="B386">
        <v>385</v>
      </c>
      <c r="C386" t="s">
        <v>8</v>
      </c>
      <c r="D386">
        <v>5</v>
      </c>
      <c r="E386" t="s">
        <v>136</v>
      </c>
      <c r="F386" t="s">
        <v>16</v>
      </c>
      <c r="G386">
        <v>1</v>
      </c>
      <c r="H386">
        <v>2</v>
      </c>
      <c r="I386">
        <v>1</v>
      </c>
      <c r="J386">
        <v>44</v>
      </c>
      <c r="K386">
        <v>4</v>
      </c>
      <c r="L386" t="s">
        <v>31</v>
      </c>
      <c r="M386">
        <v>160</v>
      </c>
    </row>
    <row r="387" spans="1:13">
      <c r="A387">
        <f t="shared" ca="1" si="6"/>
        <v>0.46177942098719316</v>
      </c>
      <c r="B387">
        <v>386</v>
      </c>
      <c r="C387" t="s">
        <v>7</v>
      </c>
      <c r="D387">
        <v>1</v>
      </c>
      <c r="E387" t="s">
        <v>134</v>
      </c>
      <c r="F387" t="s">
        <v>13</v>
      </c>
      <c r="G387">
        <v>1</v>
      </c>
      <c r="H387">
        <v>2</v>
      </c>
      <c r="I387">
        <v>3</v>
      </c>
      <c r="J387">
        <v>31</v>
      </c>
      <c r="K387">
        <v>1</v>
      </c>
      <c r="L387" t="s">
        <v>31</v>
      </c>
      <c r="M387">
        <v>312</v>
      </c>
    </row>
    <row r="388" spans="1:13">
      <c r="A388">
        <f t="shared" ca="1" si="6"/>
        <v>0.41631488820967355</v>
      </c>
      <c r="B388">
        <v>387</v>
      </c>
      <c r="C388" t="s">
        <v>7</v>
      </c>
      <c r="D388">
        <v>3</v>
      </c>
      <c r="E388" t="s">
        <v>135</v>
      </c>
      <c r="F388" t="s">
        <v>14</v>
      </c>
      <c r="G388">
        <v>1</v>
      </c>
      <c r="H388">
        <v>2</v>
      </c>
      <c r="I388">
        <v>2</v>
      </c>
      <c r="J388">
        <v>44</v>
      </c>
      <c r="K388">
        <v>5</v>
      </c>
      <c r="L388" t="s">
        <v>19</v>
      </c>
      <c r="M388">
        <v>237</v>
      </c>
    </row>
    <row r="389" spans="1:13">
      <c r="A389">
        <f t="shared" ca="1" si="6"/>
        <v>3.5421687240106081E-2</v>
      </c>
      <c r="B389">
        <v>388</v>
      </c>
      <c r="C389" t="s">
        <v>8</v>
      </c>
      <c r="D389">
        <v>1</v>
      </c>
      <c r="E389" t="s">
        <v>134</v>
      </c>
      <c r="F389" t="s">
        <v>16</v>
      </c>
      <c r="G389">
        <v>1</v>
      </c>
      <c r="H389">
        <v>2</v>
      </c>
      <c r="I389">
        <v>1</v>
      </c>
      <c r="J389">
        <v>55</v>
      </c>
      <c r="K389">
        <v>5</v>
      </c>
      <c r="L389" t="s">
        <v>19</v>
      </c>
      <c r="M389">
        <v>75</v>
      </c>
    </row>
    <row r="390" spans="1:13">
      <c r="A390">
        <f t="shared" ca="1" si="6"/>
        <v>0.49388469044302019</v>
      </c>
      <c r="B390">
        <v>389</v>
      </c>
      <c r="C390" t="s">
        <v>8</v>
      </c>
      <c r="D390">
        <v>1</v>
      </c>
      <c r="E390" t="s">
        <v>134</v>
      </c>
      <c r="F390" t="s">
        <v>14</v>
      </c>
      <c r="G390">
        <v>1</v>
      </c>
      <c r="H390">
        <v>3</v>
      </c>
      <c r="I390">
        <v>3</v>
      </c>
      <c r="J390">
        <v>59</v>
      </c>
      <c r="K390">
        <v>4</v>
      </c>
      <c r="L390" t="s">
        <v>19</v>
      </c>
      <c r="M390">
        <v>420</v>
      </c>
    </row>
    <row r="391" spans="1:13">
      <c r="A391">
        <f t="shared" ca="1" si="6"/>
        <v>0.66105946680267336</v>
      </c>
      <c r="B391">
        <v>390</v>
      </c>
      <c r="C391" t="s">
        <v>8</v>
      </c>
      <c r="D391">
        <v>1</v>
      </c>
      <c r="E391" t="s">
        <v>134</v>
      </c>
      <c r="F391" t="s">
        <v>15</v>
      </c>
      <c r="G391">
        <v>1</v>
      </c>
      <c r="H391">
        <v>2</v>
      </c>
      <c r="I391">
        <v>2</v>
      </c>
      <c r="J391">
        <v>23</v>
      </c>
      <c r="K391">
        <v>6</v>
      </c>
      <c r="L391" t="s">
        <v>19</v>
      </c>
      <c r="M391">
        <v>172</v>
      </c>
    </row>
    <row r="392" spans="1:13">
      <c r="A392">
        <f t="shared" ca="1" si="6"/>
        <v>0.30138018189642213</v>
      </c>
      <c r="B392">
        <v>391</v>
      </c>
      <c r="C392" t="s">
        <v>8</v>
      </c>
      <c r="D392">
        <v>3</v>
      </c>
      <c r="E392" t="s">
        <v>135</v>
      </c>
      <c r="F392" t="s">
        <v>15</v>
      </c>
      <c r="G392">
        <v>1</v>
      </c>
      <c r="H392">
        <v>2</v>
      </c>
      <c r="I392">
        <v>2</v>
      </c>
      <c r="J392">
        <v>33</v>
      </c>
      <c r="K392">
        <v>8</v>
      </c>
      <c r="L392" t="s">
        <v>19</v>
      </c>
      <c r="M392">
        <v>184</v>
      </c>
    </row>
    <row r="393" spans="1:13">
      <c r="A393">
        <f t="shared" ca="1" si="6"/>
        <v>5.2317331099504538E-2</v>
      </c>
      <c r="B393">
        <v>392</v>
      </c>
      <c r="C393" t="s">
        <v>8</v>
      </c>
      <c r="D393">
        <v>4</v>
      </c>
      <c r="E393" t="s">
        <v>137</v>
      </c>
      <c r="F393" t="s">
        <v>14</v>
      </c>
      <c r="G393">
        <v>1</v>
      </c>
      <c r="H393">
        <v>2</v>
      </c>
      <c r="I393">
        <v>3</v>
      </c>
      <c r="J393">
        <v>28</v>
      </c>
      <c r="K393">
        <v>6</v>
      </c>
      <c r="L393" t="s">
        <v>31</v>
      </c>
      <c r="M393">
        <v>352</v>
      </c>
    </row>
    <row r="394" spans="1:13">
      <c r="A394">
        <f t="shared" ca="1" si="6"/>
        <v>0.65645998619684043</v>
      </c>
      <c r="B394">
        <v>393</v>
      </c>
      <c r="C394" t="s">
        <v>8</v>
      </c>
      <c r="D394">
        <v>2</v>
      </c>
      <c r="E394" t="s">
        <v>140</v>
      </c>
      <c r="F394" t="s">
        <v>14</v>
      </c>
      <c r="G394">
        <v>1</v>
      </c>
      <c r="H394">
        <v>2</v>
      </c>
      <c r="I394">
        <v>3</v>
      </c>
      <c r="J394">
        <v>48</v>
      </c>
      <c r="K394">
        <v>9</v>
      </c>
      <c r="L394" t="s">
        <v>19</v>
      </c>
      <c r="M394">
        <v>300</v>
      </c>
    </row>
    <row r="395" spans="1:13">
      <c r="A395">
        <f t="shared" ca="1" si="6"/>
        <v>0.43366515947743911</v>
      </c>
      <c r="B395">
        <v>394</v>
      </c>
      <c r="C395" t="s">
        <v>8</v>
      </c>
      <c r="D395">
        <v>3</v>
      </c>
      <c r="E395" t="s">
        <v>135</v>
      </c>
      <c r="F395" t="s">
        <v>14</v>
      </c>
      <c r="G395">
        <v>1</v>
      </c>
      <c r="H395">
        <v>2</v>
      </c>
      <c r="I395">
        <v>3</v>
      </c>
      <c r="J395">
        <v>54</v>
      </c>
      <c r="K395">
        <v>7</v>
      </c>
      <c r="L395" t="s">
        <v>19</v>
      </c>
      <c r="M395">
        <v>282</v>
      </c>
    </row>
    <row r="396" spans="1:13">
      <c r="A396">
        <f t="shared" ca="1" si="6"/>
        <v>0.17294375530842643</v>
      </c>
      <c r="B396">
        <v>395</v>
      </c>
      <c r="C396" t="s">
        <v>8</v>
      </c>
      <c r="D396">
        <v>1</v>
      </c>
      <c r="E396" t="s">
        <v>134</v>
      </c>
      <c r="F396" t="s">
        <v>14</v>
      </c>
      <c r="G396">
        <v>1</v>
      </c>
      <c r="H396">
        <v>2</v>
      </c>
      <c r="I396">
        <v>3</v>
      </c>
      <c r="J396">
        <v>49</v>
      </c>
      <c r="K396">
        <v>6</v>
      </c>
      <c r="L396" t="s">
        <v>31</v>
      </c>
      <c r="M396">
        <v>287</v>
      </c>
    </row>
    <row r="397" spans="1:13">
      <c r="A397">
        <f t="shared" ca="1" si="6"/>
        <v>0.62889813217722734</v>
      </c>
      <c r="B397">
        <v>396</v>
      </c>
      <c r="C397" t="s">
        <v>8</v>
      </c>
      <c r="D397">
        <v>1</v>
      </c>
      <c r="E397" t="s">
        <v>134</v>
      </c>
      <c r="F397" t="s">
        <v>16</v>
      </c>
      <c r="G397">
        <v>1</v>
      </c>
      <c r="H397">
        <v>2</v>
      </c>
      <c r="I397">
        <v>3</v>
      </c>
      <c r="J397">
        <v>54</v>
      </c>
      <c r="K397">
        <v>9</v>
      </c>
      <c r="L397" t="s">
        <v>31</v>
      </c>
      <c r="M397">
        <v>374</v>
      </c>
    </row>
    <row r="398" spans="1:13">
      <c r="A398">
        <f t="shared" ca="1" si="6"/>
        <v>3.5103030555914239E-2</v>
      </c>
      <c r="B398">
        <v>397</v>
      </c>
      <c r="C398" t="s">
        <v>7</v>
      </c>
      <c r="D398">
        <v>3</v>
      </c>
      <c r="E398" t="s">
        <v>135</v>
      </c>
      <c r="F398" t="s">
        <v>16</v>
      </c>
      <c r="G398">
        <v>1</v>
      </c>
      <c r="H398">
        <v>2</v>
      </c>
      <c r="I398">
        <v>3</v>
      </c>
      <c r="J398">
        <v>49</v>
      </c>
      <c r="K398">
        <v>0</v>
      </c>
      <c r="L398" t="s">
        <v>19</v>
      </c>
      <c r="M398">
        <v>306</v>
      </c>
    </row>
    <row r="399" spans="1:13">
      <c r="A399">
        <f t="shared" ca="1" si="6"/>
        <v>8.1812002609767176E-2</v>
      </c>
      <c r="B399">
        <v>398</v>
      </c>
      <c r="C399" t="s">
        <v>8</v>
      </c>
      <c r="D399">
        <v>3</v>
      </c>
      <c r="E399" t="s">
        <v>135</v>
      </c>
      <c r="F399" t="s">
        <v>14</v>
      </c>
      <c r="G399">
        <v>1</v>
      </c>
      <c r="H399">
        <v>3</v>
      </c>
      <c r="I399">
        <v>3</v>
      </c>
      <c r="J399">
        <v>51</v>
      </c>
      <c r="K399">
        <v>9</v>
      </c>
      <c r="L399" t="s">
        <v>31</v>
      </c>
      <c r="M399">
        <v>262</v>
      </c>
    </row>
    <row r="400" spans="1:13">
      <c r="A400">
        <f t="shared" ca="1" si="6"/>
        <v>0.74794744361466237</v>
      </c>
      <c r="B400">
        <v>399</v>
      </c>
      <c r="C400" t="s">
        <v>8</v>
      </c>
      <c r="D400">
        <v>1</v>
      </c>
      <c r="E400" t="s">
        <v>134</v>
      </c>
      <c r="F400" t="s">
        <v>16</v>
      </c>
      <c r="G400">
        <v>1</v>
      </c>
      <c r="H400">
        <v>2</v>
      </c>
      <c r="I400">
        <v>1</v>
      </c>
      <c r="J400">
        <v>56</v>
      </c>
      <c r="K400">
        <v>7</v>
      </c>
      <c r="L400" t="s">
        <v>30</v>
      </c>
      <c r="M400">
        <v>128</v>
      </c>
    </row>
    <row r="401" spans="1:13">
      <c r="A401">
        <f t="shared" ca="1" si="6"/>
        <v>0.27423736185463599</v>
      </c>
      <c r="B401">
        <v>400</v>
      </c>
      <c r="C401" t="s">
        <v>8</v>
      </c>
      <c r="D401">
        <v>1</v>
      </c>
      <c r="E401" t="s">
        <v>134</v>
      </c>
      <c r="F401" t="s">
        <v>14</v>
      </c>
      <c r="G401">
        <v>1</v>
      </c>
      <c r="H401">
        <v>1</v>
      </c>
      <c r="I401">
        <v>5</v>
      </c>
      <c r="J401">
        <v>45</v>
      </c>
      <c r="K401">
        <v>0</v>
      </c>
      <c r="L401" t="s">
        <v>30</v>
      </c>
      <c r="M401">
        <v>474</v>
      </c>
    </row>
    <row r="402" spans="1:13">
      <c r="A402">
        <f t="shared" ca="1" si="6"/>
        <v>0.3118638054163787</v>
      </c>
      <c r="B402">
        <v>401</v>
      </c>
      <c r="C402" t="s">
        <v>7</v>
      </c>
      <c r="D402">
        <v>1</v>
      </c>
      <c r="E402" t="s">
        <v>134</v>
      </c>
      <c r="F402" t="s">
        <v>14</v>
      </c>
      <c r="G402">
        <v>1</v>
      </c>
      <c r="H402">
        <v>3</v>
      </c>
      <c r="I402">
        <v>1</v>
      </c>
      <c r="J402">
        <v>51</v>
      </c>
      <c r="K402">
        <v>4</v>
      </c>
      <c r="L402" t="s">
        <v>30</v>
      </c>
      <c r="M402">
        <v>149</v>
      </c>
    </row>
    <row r="403" spans="1:13">
      <c r="A403">
        <f t="shared" ca="1" si="6"/>
        <v>0.85640559889970747</v>
      </c>
      <c r="B403">
        <v>402</v>
      </c>
      <c r="C403" t="s">
        <v>7</v>
      </c>
      <c r="D403">
        <v>2</v>
      </c>
      <c r="E403" t="s">
        <v>140</v>
      </c>
      <c r="F403" t="s">
        <v>14</v>
      </c>
      <c r="G403">
        <v>0.8</v>
      </c>
      <c r="H403">
        <v>2</v>
      </c>
      <c r="I403">
        <v>3</v>
      </c>
      <c r="J403">
        <v>30</v>
      </c>
      <c r="K403">
        <v>0</v>
      </c>
      <c r="L403" t="s">
        <v>19</v>
      </c>
      <c r="M403">
        <v>251</v>
      </c>
    </row>
    <row r="404" spans="1:13">
      <c r="A404">
        <f t="shared" ca="1" si="6"/>
        <v>0.68927488544879856</v>
      </c>
      <c r="B404">
        <v>403</v>
      </c>
      <c r="C404" t="s">
        <v>8</v>
      </c>
      <c r="D404">
        <v>1</v>
      </c>
      <c r="E404" t="s">
        <v>134</v>
      </c>
      <c r="F404" t="s">
        <v>16</v>
      </c>
      <c r="G404">
        <v>1</v>
      </c>
      <c r="H404">
        <v>3</v>
      </c>
      <c r="I404">
        <v>5</v>
      </c>
      <c r="J404">
        <v>25</v>
      </c>
      <c r="K404">
        <v>7</v>
      </c>
      <c r="L404" t="s">
        <v>31</v>
      </c>
      <c r="M404">
        <v>469</v>
      </c>
    </row>
    <row r="405" spans="1:13">
      <c r="A405">
        <f t="shared" ca="1" si="6"/>
        <v>0.76478766628455785</v>
      </c>
      <c r="B405">
        <v>404</v>
      </c>
      <c r="C405" t="s">
        <v>8</v>
      </c>
      <c r="D405">
        <v>6</v>
      </c>
      <c r="E405" t="s">
        <v>139</v>
      </c>
      <c r="F405" t="s">
        <v>17</v>
      </c>
      <c r="G405">
        <v>1</v>
      </c>
      <c r="H405">
        <v>2</v>
      </c>
      <c r="I405">
        <v>3</v>
      </c>
      <c r="J405">
        <v>33</v>
      </c>
      <c r="K405">
        <v>4</v>
      </c>
      <c r="L405" t="s">
        <v>31</v>
      </c>
      <c r="M405">
        <v>296</v>
      </c>
    </row>
    <row r="406" spans="1:13">
      <c r="A406">
        <f t="shared" ca="1" si="6"/>
        <v>0.54427298798052404</v>
      </c>
      <c r="B406">
        <v>405</v>
      </c>
      <c r="C406" t="s">
        <v>8</v>
      </c>
      <c r="D406">
        <v>6</v>
      </c>
      <c r="E406" t="s">
        <v>139</v>
      </c>
      <c r="F406" t="s">
        <v>17</v>
      </c>
      <c r="G406">
        <v>1</v>
      </c>
      <c r="H406">
        <v>3</v>
      </c>
      <c r="I406">
        <v>1</v>
      </c>
      <c r="J406">
        <v>39</v>
      </c>
      <c r="K406">
        <v>8</v>
      </c>
      <c r="L406" t="s">
        <v>19</v>
      </c>
      <c r="M406">
        <v>123</v>
      </c>
    </row>
    <row r="407" spans="1:13">
      <c r="A407">
        <f t="shared" ca="1" si="6"/>
        <v>0.28238654485424286</v>
      </c>
      <c r="B407">
        <v>406</v>
      </c>
      <c r="C407" t="s">
        <v>8</v>
      </c>
      <c r="D407">
        <v>4</v>
      </c>
      <c r="E407" t="s">
        <v>137</v>
      </c>
      <c r="F407" t="s">
        <v>14</v>
      </c>
      <c r="G407">
        <v>1</v>
      </c>
      <c r="H407">
        <v>3</v>
      </c>
      <c r="I407">
        <v>2</v>
      </c>
      <c r="J407">
        <v>40</v>
      </c>
      <c r="K407">
        <v>3</v>
      </c>
      <c r="L407" t="s">
        <v>31</v>
      </c>
      <c r="M407">
        <v>200</v>
      </c>
    </row>
    <row r="408" spans="1:13">
      <c r="A408">
        <f t="shared" ca="1" si="6"/>
        <v>0.61701304463047091</v>
      </c>
      <c r="B408">
        <v>407</v>
      </c>
      <c r="C408" t="s">
        <v>8</v>
      </c>
      <c r="D408">
        <v>5</v>
      </c>
      <c r="E408" t="s">
        <v>136</v>
      </c>
      <c r="F408" t="s">
        <v>15</v>
      </c>
      <c r="G408">
        <v>1</v>
      </c>
      <c r="H408">
        <v>2</v>
      </c>
      <c r="I408">
        <v>1</v>
      </c>
      <c r="J408">
        <v>46</v>
      </c>
      <c r="K408">
        <v>5</v>
      </c>
      <c r="L408" t="s">
        <v>30</v>
      </c>
      <c r="M408">
        <v>150</v>
      </c>
    </row>
    <row r="409" spans="1:13">
      <c r="A409">
        <f t="shared" ca="1" si="6"/>
        <v>0.802789723216774</v>
      </c>
      <c r="B409">
        <v>408</v>
      </c>
      <c r="C409" t="s">
        <v>8</v>
      </c>
      <c r="D409">
        <v>2</v>
      </c>
      <c r="E409" t="s">
        <v>140</v>
      </c>
      <c r="F409" t="s">
        <v>16</v>
      </c>
      <c r="G409">
        <v>1</v>
      </c>
      <c r="H409">
        <v>2</v>
      </c>
      <c r="I409">
        <v>3</v>
      </c>
      <c r="J409">
        <v>47</v>
      </c>
      <c r="K409">
        <v>1</v>
      </c>
      <c r="L409" t="s">
        <v>19</v>
      </c>
      <c r="M409">
        <v>316</v>
      </c>
    </row>
    <row r="410" spans="1:13">
      <c r="A410">
        <f t="shared" ca="1" si="6"/>
        <v>0.47009713576882339</v>
      </c>
      <c r="B410">
        <v>409</v>
      </c>
      <c r="C410" t="s">
        <v>7</v>
      </c>
      <c r="D410">
        <v>1</v>
      </c>
      <c r="E410" t="s">
        <v>134</v>
      </c>
      <c r="F410" t="s">
        <v>16</v>
      </c>
      <c r="G410">
        <v>1</v>
      </c>
      <c r="H410">
        <v>2</v>
      </c>
      <c r="I410">
        <v>4</v>
      </c>
      <c r="J410">
        <v>52</v>
      </c>
      <c r="K410">
        <v>8</v>
      </c>
      <c r="L410" t="s">
        <v>19</v>
      </c>
      <c r="M410">
        <v>429</v>
      </c>
    </row>
    <row r="411" spans="1:13">
      <c r="A411">
        <f t="shared" ca="1" si="6"/>
        <v>0.52364003239872003</v>
      </c>
      <c r="B411">
        <v>410</v>
      </c>
      <c r="C411" t="s">
        <v>8</v>
      </c>
      <c r="D411">
        <v>2</v>
      </c>
      <c r="E411" t="s">
        <v>140</v>
      </c>
      <c r="F411" t="s">
        <v>16</v>
      </c>
      <c r="G411">
        <v>1</v>
      </c>
      <c r="H411">
        <v>3</v>
      </c>
      <c r="I411">
        <v>2</v>
      </c>
      <c r="J411">
        <v>50</v>
      </c>
      <c r="K411">
        <v>0</v>
      </c>
      <c r="L411" t="s">
        <v>19</v>
      </c>
      <c r="M411">
        <v>164</v>
      </c>
    </row>
    <row r="412" spans="1:13">
      <c r="A412">
        <f t="shared" ca="1" si="6"/>
        <v>0.80426106990525137</v>
      </c>
      <c r="B412">
        <v>411</v>
      </c>
      <c r="C412" t="s">
        <v>7</v>
      </c>
      <c r="D412">
        <v>3</v>
      </c>
      <c r="E412" t="s">
        <v>135</v>
      </c>
      <c r="F412" t="s">
        <v>14</v>
      </c>
      <c r="G412">
        <v>1</v>
      </c>
      <c r="H412">
        <v>2</v>
      </c>
      <c r="I412">
        <v>9</v>
      </c>
      <c r="J412">
        <v>28</v>
      </c>
      <c r="K412">
        <v>0</v>
      </c>
      <c r="L412" t="s">
        <v>32</v>
      </c>
      <c r="M412">
        <v>499</v>
      </c>
    </row>
    <row r="413" spans="1:13">
      <c r="A413">
        <f t="shared" ca="1" si="6"/>
        <v>0.48225789712511613</v>
      </c>
      <c r="B413">
        <v>412</v>
      </c>
      <c r="C413" t="s">
        <v>7</v>
      </c>
      <c r="D413">
        <v>2</v>
      </c>
      <c r="E413" t="s">
        <v>140</v>
      </c>
      <c r="F413" t="s">
        <v>14</v>
      </c>
      <c r="G413">
        <v>1</v>
      </c>
      <c r="H413">
        <v>2</v>
      </c>
      <c r="I413">
        <v>0</v>
      </c>
      <c r="J413">
        <v>30</v>
      </c>
      <c r="K413">
        <v>7</v>
      </c>
      <c r="L413" t="s">
        <v>31</v>
      </c>
      <c r="M413">
        <v>27</v>
      </c>
    </row>
    <row r="414" spans="1:13">
      <c r="A414">
        <f t="shared" ca="1" si="6"/>
        <v>0.24363170683819368</v>
      </c>
      <c r="B414">
        <v>413</v>
      </c>
      <c r="C414" t="s">
        <v>8</v>
      </c>
      <c r="D414">
        <v>5</v>
      </c>
      <c r="E414" t="s">
        <v>136</v>
      </c>
      <c r="F414" t="s">
        <v>15</v>
      </c>
      <c r="G414">
        <v>1</v>
      </c>
      <c r="H414">
        <v>2</v>
      </c>
      <c r="I414">
        <v>5</v>
      </c>
      <c r="J414">
        <v>47</v>
      </c>
      <c r="K414">
        <v>7</v>
      </c>
      <c r="L414" t="s">
        <v>30</v>
      </c>
      <c r="M414">
        <v>483</v>
      </c>
    </row>
    <row r="415" spans="1:13">
      <c r="A415">
        <f t="shared" ca="1" si="6"/>
        <v>0.9927952209259211</v>
      </c>
      <c r="B415">
        <v>414</v>
      </c>
      <c r="C415" t="s">
        <v>7</v>
      </c>
      <c r="D415">
        <v>2</v>
      </c>
      <c r="E415" t="s">
        <v>140</v>
      </c>
      <c r="F415" t="s">
        <v>14</v>
      </c>
      <c r="G415">
        <v>0.8</v>
      </c>
      <c r="H415">
        <v>2</v>
      </c>
      <c r="I415">
        <v>1</v>
      </c>
      <c r="J415">
        <v>46</v>
      </c>
      <c r="K415">
        <v>5</v>
      </c>
      <c r="L415" t="s">
        <v>30</v>
      </c>
      <c r="M415">
        <v>80</v>
      </c>
    </row>
    <row r="416" spans="1:13">
      <c r="A416">
        <f t="shared" ca="1" si="6"/>
        <v>0.1629149576616018</v>
      </c>
      <c r="B416">
        <v>415</v>
      </c>
      <c r="C416" t="s">
        <v>8</v>
      </c>
      <c r="D416">
        <v>1</v>
      </c>
      <c r="E416" t="s">
        <v>134</v>
      </c>
      <c r="F416" t="s">
        <v>16</v>
      </c>
      <c r="G416">
        <v>1</v>
      </c>
      <c r="H416">
        <v>2</v>
      </c>
      <c r="I416">
        <v>3</v>
      </c>
      <c r="J416">
        <v>52</v>
      </c>
      <c r="K416">
        <v>9</v>
      </c>
      <c r="L416" t="s">
        <v>26</v>
      </c>
      <c r="M416">
        <v>313</v>
      </c>
    </row>
    <row r="417" spans="1:13">
      <c r="A417">
        <f t="shared" ca="1" si="6"/>
        <v>0.81185687336958912</v>
      </c>
      <c r="B417">
        <v>416</v>
      </c>
      <c r="C417" t="s">
        <v>8</v>
      </c>
      <c r="D417">
        <v>4</v>
      </c>
      <c r="E417" t="s">
        <v>137</v>
      </c>
      <c r="F417" t="s">
        <v>17</v>
      </c>
      <c r="G417">
        <v>1</v>
      </c>
      <c r="H417">
        <v>2</v>
      </c>
      <c r="I417">
        <v>5</v>
      </c>
      <c r="J417">
        <v>35</v>
      </c>
      <c r="K417">
        <v>8</v>
      </c>
      <c r="L417" t="s">
        <v>19</v>
      </c>
      <c r="M417">
        <v>467</v>
      </c>
    </row>
    <row r="418" spans="1:13">
      <c r="A418">
        <f t="shared" ca="1" si="6"/>
        <v>0.54522424674608982</v>
      </c>
      <c r="B418">
        <v>417</v>
      </c>
      <c r="C418" t="s">
        <v>8</v>
      </c>
      <c r="D418">
        <v>4</v>
      </c>
      <c r="E418" t="s">
        <v>137</v>
      </c>
      <c r="F418" t="s">
        <v>14</v>
      </c>
      <c r="G418">
        <v>1</v>
      </c>
      <c r="H418">
        <v>2</v>
      </c>
      <c r="I418">
        <v>0</v>
      </c>
      <c r="J418">
        <v>32</v>
      </c>
      <c r="K418">
        <v>1</v>
      </c>
      <c r="L418" t="s">
        <v>19</v>
      </c>
      <c r="M418">
        <v>30</v>
      </c>
    </row>
    <row r="419" spans="1:13">
      <c r="A419">
        <f t="shared" ca="1" si="6"/>
        <v>0.62547892012356432</v>
      </c>
      <c r="B419">
        <v>418</v>
      </c>
      <c r="C419" t="s">
        <v>7</v>
      </c>
      <c r="D419">
        <v>2</v>
      </c>
      <c r="E419" t="s">
        <v>140</v>
      </c>
      <c r="F419" t="s">
        <v>16</v>
      </c>
      <c r="G419">
        <v>0.7</v>
      </c>
      <c r="H419">
        <v>3</v>
      </c>
      <c r="I419">
        <v>1</v>
      </c>
      <c r="J419">
        <v>33</v>
      </c>
      <c r="K419">
        <v>2</v>
      </c>
      <c r="L419" t="s">
        <v>19</v>
      </c>
      <c r="M419">
        <v>135</v>
      </c>
    </row>
    <row r="420" spans="1:13">
      <c r="A420">
        <f t="shared" ca="1" si="6"/>
        <v>0.81976693720056615</v>
      </c>
      <c r="B420">
        <v>419</v>
      </c>
      <c r="C420" t="s">
        <v>8</v>
      </c>
      <c r="D420">
        <v>1</v>
      </c>
      <c r="E420" t="s">
        <v>134</v>
      </c>
      <c r="F420" t="s">
        <v>16</v>
      </c>
      <c r="G420">
        <v>1</v>
      </c>
      <c r="H420">
        <v>2</v>
      </c>
      <c r="I420">
        <v>0</v>
      </c>
      <c r="J420">
        <v>57</v>
      </c>
      <c r="K420">
        <v>7</v>
      </c>
      <c r="L420" t="s">
        <v>19</v>
      </c>
      <c r="M420">
        <v>35</v>
      </c>
    </row>
    <row r="421" spans="1:13">
      <c r="A421">
        <f t="shared" ca="1" si="6"/>
        <v>0.64950963139844697</v>
      </c>
      <c r="B421">
        <v>420</v>
      </c>
      <c r="C421" t="s">
        <v>7</v>
      </c>
      <c r="D421">
        <v>2</v>
      </c>
      <c r="E421" t="s">
        <v>140</v>
      </c>
      <c r="F421" t="s">
        <v>14</v>
      </c>
      <c r="G421">
        <v>0.5</v>
      </c>
      <c r="H421">
        <v>2</v>
      </c>
      <c r="I421">
        <v>2</v>
      </c>
      <c r="J421">
        <v>37</v>
      </c>
      <c r="K421">
        <v>6</v>
      </c>
      <c r="L421" t="s">
        <v>30</v>
      </c>
      <c r="M421">
        <v>189</v>
      </c>
    </row>
    <row r="422" spans="1:13">
      <c r="A422">
        <f t="shared" ca="1" si="6"/>
        <v>0.73793914844648067</v>
      </c>
      <c r="B422">
        <v>421</v>
      </c>
      <c r="C422" t="s">
        <v>8</v>
      </c>
      <c r="D422">
        <v>6</v>
      </c>
      <c r="E422" t="s">
        <v>139</v>
      </c>
      <c r="F422" t="s">
        <v>17</v>
      </c>
      <c r="G422">
        <v>1</v>
      </c>
      <c r="H422">
        <v>3</v>
      </c>
      <c r="I422">
        <v>5</v>
      </c>
      <c r="J422">
        <v>46</v>
      </c>
      <c r="K422">
        <v>5</v>
      </c>
      <c r="L422" t="s">
        <v>31</v>
      </c>
      <c r="M422">
        <v>476</v>
      </c>
    </row>
    <row r="423" spans="1:13">
      <c r="A423">
        <f t="shared" ca="1" si="6"/>
        <v>0.19889415798381171</v>
      </c>
      <c r="B423">
        <v>422</v>
      </c>
      <c r="C423" t="s">
        <v>8</v>
      </c>
      <c r="D423">
        <v>1</v>
      </c>
      <c r="E423" t="s">
        <v>134</v>
      </c>
      <c r="F423" t="s">
        <v>14</v>
      </c>
      <c r="G423">
        <v>1</v>
      </c>
      <c r="H423">
        <v>2</v>
      </c>
      <c r="I423">
        <v>0</v>
      </c>
      <c r="J423">
        <v>42</v>
      </c>
      <c r="K423">
        <v>1</v>
      </c>
      <c r="L423" t="s">
        <v>19</v>
      </c>
      <c r="M423">
        <v>7</v>
      </c>
    </row>
    <row r="424" spans="1:13">
      <c r="A424">
        <f t="shared" ca="1" si="6"/>
        <v>0.92540861291648213</v>
      </c>
      <c r="B424">
        <v>423</v>
      </c>
      <c r="C424" t="s">
        <v>8</v>
      </c>
      <c r="D424">
        <v>1</v>
      </c>
      <c r="E424" t="s">
        <v>134</v>
      </c>
      <c r="F424" t="s">
        <v>14</v>
      </c>
      <c r="G424">
        <v>1</v>
      </c>
      <c r="H424">
        <v>2</v>
      </c>
      <c r="I424">
        <v>1</v>
      </c>
      <c r="J424">
        <v>39</v>
      </c>
      <c r="K424">
        <v>6</v>
      </c>
      <c r="L424" t="s">
        <v>30</v>
      </c>
      <c r="M424">
        <v>70</v>
      </c>
    </row>
    <row r="425" spans="1:13">
      <c r="A425">
        <f t="shared" ca="1" si="6"/>
        <v>0.49803910937680318</v>
      </c>
      <c r="B425">
        <v>424</v>
      </c>
      <c r="C425" t="s">
        <v>7</v>
      </c>
      <c r="D425">
        <v>1</v>
      </c>
      <c r="E425" t="s">
        <v>134</v>
      </c>
      <c r="F425" t="s">
        <v>14</v>
      </c>
      <c r="G425">
        <v>1</v>
      </c>
      <c r="H425">
        <v>2</v>
      </c>
      <c r="I425">
        <v>2</v>
      </c>
      <c r="J425">
        <v>56</v>
      </c>
      <c r="K425">
        <v>0</v>
      </c>
      <c r="L425" t="s">
        <v>19</v>
      </c>
      <c r="M425">
        <v>227</v>
      </c>
    </row>
    <row r="426" spans="1:13">
      <c r="A426">
        <f t="shared" ca="1" si="6"/>
        <v>0.28718444940156562</v>
      </c>
      <c r="B426">
        <v>425</v>
      </c>
      <c r="C426" t="s">
        <v>8</v>
      </c>
      <c r="D426">
        <v>6</v>
      </c>
      <c r="E426" t="s">
        <v>139</v>
      </c>
      <c r="F426" t="s">
        <v>17</v>
      </c>
      <c r="G426">
        <v>1</v>
      </c>
      <c r="H426">
        <v>2</v>
      </c>
      <c r="I426">
        <v>3</v>
      </c>
      <c r="J426">
        <v>44</v>
      </c>
      <c r="K426">
        <v>9</v>
      </c>
      <c r="L426" t="s">
        <v>30</v>
      </c>
      <c r="M426">
        <v>333</v>
      </c>
    </row>
    <row r="427" spans="1:13">
      <c r="A427">
        <f t="shared" ca="1" si="6"/>
        <v>0.33612947942017146</v>
      </c>
      <c r="B427">
        <v>426</v>
      </c>
      <c r="C427" t="s">
        <v>8</v>
      </c>
      <c r="D427">
        <v>1</v>
      </c>
      <c r="E427" t="s">
        <v>134</v>
      </c>
      <c r="F427" t="s">
        <v>16</v>
      </c>
      <c r="G427">
        <v>1</v>
      </c>
      <c r="H427">
        <v>3</v>
      </c>
      <c r="I427">
        <v>0</v>
      </c>
      <c r="J427">
        <v>38</v>
      </c>
      <c r="K427">
        <v>3</v>
      </c>
      <c r="L427" t="s">
        <v>26</v>
      </c>
      <c r="M427">
        <v>33</v>
      </c>
    </row>
    <row r="428" spans="1:13">
      <c r="A428">
        <f t="shared" ca="1" si="6"/>
        <v>0.880318835239987</v>
      </c>
      <c r="B428">
        <v>427</v>
      </c>
      <c r="C428" t="s">
        <v>8</v>
      </c>
      <c r="D428">
        <v>6</v>
      </c>
      <c r="E428" t="s">
        <v>139</v>
      </c>
      <c r="F428" t="s">
        <v>17</v>
      </c>
      <c r="G428">
        <v>1</v>
      </c>
      <c r="H428">
        <v>2</v>
      </c>
      <c r="I428">
        <v>2</v>
      </c>
      <c r="J428">
        <v>36</v>
      </c>
      <c r="K428">
        <v>0</v>
      </c>
      <c r="L428" t="s">
        <v>30</v>
      </c>
      <c r="M428">
        <v>240</v>
      </c>
    </row>
    <row r="429" spans="1:13">
      <c r="A429">
        <f t="shared" ca="1" si="6"/>
        <v>0.82699779025904885</v>
      </c>
      <c r="B429">
        <v>428</v>
      </c>
      <c r="C429" t="s">
        <v>8</v>
      </c>
      <c r="D429">
        <v>2</v>
      </c>
      <c r="E429" t="s">
        <v>140</v>
      </c>
      <c r="F429" t="s">
        <v>12</v>
      </c>
      <c r="G429">
        <v>1</v>
      </c>
      <c r="H429">
        <v>3</v>
      </c>
      <c r="I429">
        <v>3</v>
      </c>
      <c r="J429">
        <v>37</v>
      </c>
      <c r="K429">
        <v>8</v>
      </c>
      <c r="L429" t="s">
        <v>19</v>
      </c>
      <c r="M429">
        <v>392</v>
      </c>
    </row>
    <row r="430" spans="1:13">
      <c r="A430">
        <f t="shared" ca="1" si="6"/>
        <v>0.77982252944995822</v>
      </c>
      <c r="B430">
        <v>429</v>
      </c>
      <c r="C430" t="s">
        <v>8</v>
      </c>
      <c r="D430">
        <v>4</v>
      </c>
      <c r="E430" t="s">
        <v>137</v>
      </c>
      <c r="F430" t="s">
        <v>14</v>
      </c>
      <c r="G430">
        <v>1</v>
      </c>
      <c r="H430">
        <v>2</v>
      </c>
      <c r="I430">
        <v>3</v>
      </c>
      <c r="J430">
        <v>39</v>
      </c>
      <c r="K430">
        <v>7</v>
      </c>
      <c r="L430" t="s">
        <v>36</v>
      </c>
      <c r="M430">
        <v>286</v>
      </c>
    </row>
    <row r="431" spans="1:13">
      <c r="A431">
        <f t="shared" ca="1" si="6"/>
        <v>0.63863515755453437</v>
      </c>
      <c r="B431">
        <v>430</v>
      </c>
      <c r="C431" t="s">
        <v>8</v>
      </c>
      <c r="D431">
        <v>2</v>
      </c>
      <c r="E431" t="s">
        <v>140</v>
      </c>
      <c r="F431" t="s">
        <v>16</v>
      </c>
      <c r="G431">
        <v>1</v>
      </c>
      <c r="H431">
        <v>3</v>
      </c>
      <c r="I431">
        <v>0</v>
      </c>
      <c r="J431">
        <v>36</v>
      </c>
      <c r="K431">
        <v>4</v>
      </c>
      <c r="L431" t="s">
        <v>19</v>
      </c>
      <c r="M431">
        <v>42</v>
      </c>
    </row>
    <row r="432" spans="1:13">
      <c r="A432">
        <f t="shared" ca="1" si="6"/>
        <v>0.94232953194650138</v>
      </c>
      <c r="B432">
        <v>431</v>
      </c>
      <c r="C432" t="s">
        <v>8</v>
      </c>
      <c r="D432">
        <v>3</v>
      </c>
      <c r="E432" t="s">
        <v>135</v>
      </c>
      <c r="F432" t="s">
        <v>14</v>
      </c>
      <c r="G432">
        <v>1</v>
      </c>
      <c r="H432">
        <v>2</v>
      </c>
      <c r="I432">
        <v>2</v>
      </c>
      <c r="J432">
        <v>32</v>
      </c>
      <c r="K432">
        <v>2</v>
      </c>
      <c r="L432" t="s">
        <v>19</v>
      </c>
      <c r="M432">
        <v>188</v>
      </c>
    </row>
    <row r="433" spans="1:13">
      <c r="A433">
        <f t="shared" ca="1" si="6"/>
        <v>3.238667214022406E-2</v>
      </c>
      <c r="B433">
        <v>432</v>
      </c>
      <c r="C433" t="s">
        <v>8</v>
      </c>
      <c r="D433">
        <v>1</v>
      </c>
      <c r="E433" t="s">
        <v>134</v>
      </c>
      <c r="F433" t="s">
        <v>14</v>
      </c>
      <c r="G433">
        <v>1</v>
      </c>
      <c r="H433">
        <v>2</v>
      </c>
      <c r="I433">
        <v>4</v>
      </c>
      <c r="J433">
        <v>57</v>
      </c>
      <c r="K433">
        <v>7</v>
      </c>
      <c r="L433" t="s">
        <v>31</v>
      </c>
      <c r="M433">
        <v>422</v>
      </c>
    </row>
    <row r="434" spans="1:13">
      <c r="A434">
        <f t="shared" ca="1" si="6"/>
        <v>0.52530378661911969</v>
      </c>
      <c r="B434">
        <v>433</v>
      </c>
      <c r="C434" t="s">
        <v>8</v>
      </c>
      <c r="D434">
        <v>5</v>
      </c>
      <c r="E434" t="s">
        <v>136</v>
      </c>
      <c r="F434" t="s">
        <v>14</v>
      </c>
      <c r="G434">
        <v>1</v>
      </c>
      <c r="H434">
        <v>1</v>
      </c>
      <c r="I434">
        <v>4</v>
      </c>
      <c r="J434">
        <v>35</v>
      </c>
      <c r="K434">
        <v>1</v>
      </c>
      <c r="L434" t="s">
        <v>19</v>
      </c>
      <c r="M434">
        <v>436</v>
      </c>
    </row>
    <row r="435" spans="1:13">
      <c r="A435">
        <f t="shared" ca="1" si="6"/>
        <v>0.13869168720522185</v>
      </c>
      <c r="B435">
        <v>434</v>
      </c>
      <c r="C435" t="s">
        <v>8</v>
      </c>
      <c r="D435">
        <v>3</v>
      </c>
      <c r="E435" t="s">
        <v>135</v>
      </c>
      <c r="F435" t="s">
        <v>15</v>
      </c>
      <c r="G435">
        <v>1</v>
      </c>
      <c r="H435">
        <v>2</v>
      </c>
      <c r="I435">
        <v>1</v>
      </c>
      <c r="J435">
        <v>47</v>
      </c>
      <c r="K435">
        <v>0</v>
      </c>
      <c r="L435" t="s">
        <v>30</v>
      </c>
      <c r="M435">
        <v>83</v>
      </c>
    </row>
    <row r="436" spans="1:13">
      <c r="A436">
        <f t="shared" ca="1" si="6"/>
        <v>0.10072648938949802</v>
      </c>
      <c r="B436">
        <v>435</v>
      </c>
      <c r="C436" t="s">
        <v>7</v>
      </c>
      <c r="D436">
        <v>4</v>
      </c>
      <c r="E436" t="s">
        <v>137</v>
      </c>
      <c r="F436" t="s">
        <v>13</v>
      </c>
      <c r="G436">
        <v>1</v>
      </c>
      <c r="H436">
        <v>4</v>
      </c>
      <c r="I436">
        <v>3</v>
      </c>
      <c r="J436">
        <v>29</v>
      </c>
      <c r="K436">
        <v>9</v>
      </c>
      <c r="L436" t="s">
        <v>19</v>
      </c>
      <c r="M436">
        <v>259</v>
      </c>
    </row>
    <row r="437" spans="1:13">
      <c r="A437">
        <f t="shared" ca="1" si="6"/>
        <v>0.44510548854939613</v>
      </c>
      <c r="B437">
        <v>436</v>
      </c>
      <c r="C437" t="s">
        <v>8</v>
      </c>
      <c r="D437">
        <v>1</v>
      </c>
      <c r="E437" t="s">
        <v>134</v>
      </c>
      <c r="F437" t="s">
        <v>14</v>
      </c>
      <c r="G437">
        <v>1</v>
      </c>
      <c r="H437">
        <v>2</v>
      </c>
      <c r="I437">
        <v>2</v>
      </c>
      <c r="J437">
        <v>56</v>
      </c>
      <c r="K437">
        <v>2</v>
      </c>
      <c r="L437" t="s">
        <v>31</v>
      </c>
      <c r="M437">
        <v>203</v>
      </c>
    </row>
    <row r="438" spans="1:13">
      <c r="A438">
        <f t="shared" ca="1" si="6"/>
        <v>0.35138760172148731</v>
      </c>
      <c r="B438">
        <v>437</v>
      </c>
      <c r="C438" t="s">
        <v>8</v>
      </c>
      <c r="D438">
        <v>3</v>
      </c>
      <c r="E438" t="s">
        <v>135</v>
      </c>
      <c r="F438" t="s">
        <v>15</v>
      </c>
      <c r="G438">
        <v>1</v>
      </c>
      <c r="H438">
        <v>2</v>
      </c>
      <c r="I438">
        <v>2</v>
      </c>
      <c r="J438">
        <v>40</v>
      </c>
      <c r="K438">
        <v>5</v>
      </c>
      <c r="L438" t="s">
        <v>31</v>
      </c>
      <c r="M438">
        <v>217</v>
      </c>
    </row>
    <row r="439" spans="1:13">
      <c r="A439">
        <f t="shared" ca="1" si="6"/>
        <v>0.56706254992621596</v>
      </c>
      <c r="B439">
        <v>438</v>
      </c>
      <c r="C439" t="s">
        <v>8</v>
      </c>
      <c r="D439">
        <v>5</v>
      </c>
      <c r="E439" t="s">
        <v>136</v>
      </c>
      <c r="F439" t="s">
        <v>14</v>
      </c>
      <c r="G439">
        <v>1</v>
      </c>
      <c r="H439">
        <v>3</v>
      </c>
      <c r="I439">
        <v>3</v>
      </c>
      <c r="J439">
        <v>37</v>
      </c>
      <c r="K439">
        <v>9</v>
      </c>
      <c r="L439" t="s">
        <v>31</v>
      </c>
      <c r="M439">
        <v>357</v>
      </c>
    </row>
    <row r="440" spans="1:13">
      <c r="A440">
        <f t="shared" ca="1" si="6"/>
        <v>0.96878235222178599</v>
      </c>
      <c r="B440">
        <v>439</v>
      </c>
      <c r="C440" t="s">
        <v>7</v>
      </c>
      <c r="D440">
        <v>1</v>
      </c>
      <c r="E440" t="s">
        <v>134</v>
      </c>
      <c r="F440" t="s">
        <v>15</v>
      </c>
      <c r="G440">
        <v>1</v>
      </c>
      <c r="H440">
        <v>2</v>
      </c>
      <c r="I440">
        <v>4</v>
      </c>
      <c r="J440">
        <v>58</v>
      </c>
      <c r="K440">
        <v>9</v>
      </c>
      <c r="L440" t="s">
        <v>19</v>
      </c>
      <c r="M440">
        <v>426</v>
      </c>
    </row>
    <row r="441" spans="1:13">
      <c r="A441">
        <f t="shared" ca="1" si="6"/>
        <v>0.73478325011059875</v>
      </c>
      <c r="B441">
        <v>440</v>
      </c>
      <c r="C441" t="s">
        <v>8</v>
      </c>
      <c r="D441">
        <v>4</v>
      </c>
      <c r="E441" t="s">
        <v>137</v>
      </c>
      <c r="F441" t="s">
        <v>15</v>
      </c>
      <c r="G441">
        <v>1</v>
      </c>
      <c r="H441">
        <v>2</v>
      </c>
      <c r="I441">
        <v>3</v>
      </c>
      <c r="J441">
        <v>29</v>
      </c>
      <c r="K441">
        <v>4</v>
      </c>
      <c r="L441" t="s">
        <v>26</v>
      </c>
      <c r="M441">
        <v>284</v>
      </c>
    </row>
    <row r="442" spans="1:13">
      <c r="A442">
        <f t="shared" ca="1" si="6"/>
        <v>0.13012333717720548</v>
      </c>
      <c r="B442">
        <v>441</v>
      </c>
      <c r="C442" t="s">
        <v>7</v>
      </c>
      <c r="D442">
        <v>1</v>
      </c>
      <c r="E442" t="s">
        <v>134</v>
      </c>
      <c r="F442" t="s">
        <v>16</v>
      </c>
      <c r="G442">
        <v>1</v>
      </c>
      <c r="H442">
        <v>3</v>
      </c>
      <c r="I442">
        <v>4</v>
      </c>
      <c r="J442">
        <v>39</v>
      </c>
      <c r="K442">
        <v>0</v>
      </c>
      <c r="L442" t="s">
        <v>31</v>
      </c>
      <c r="M442">
        <v>427</v>
      </c>
    </row>
    <row r="443" spans="1:13">
      <c r="A443">
        <f t="shared" ca="1" si="6"/>
        <v>0.29442608728997754</v>
      </c>
      <c r="B443">
        <v>442</v>
      </c>
      <c r="C443" t="s">
        <v>7</v>
      </c>
      <c r="D443">
        <v>3</v>
      </c>
      <c r="E443" t="s">
        <v>135</v>
      </c>
      <c r="F443" t="s">
        <v>14</v>
      </c>
      <c r="G443">
        <v>1</v>
      </c>
      <c r="H443">
        <v>2</v>
      </c>
      <c r="I443">
        <v>3</v>
      </c>
      <c r="J443">
        <v>60</v>
      </c>
      <c r="K443">
        <v>9</v>
      </c>
      <c r="L443" t="s">
        <v>30</v>
      </c>
      <c r="M443">
        <v>348</v>
      </c>
    </row>
    <row r="444" spans="1:13">
      <c r="A444">
        <f t="shared" ca="1" si="6"/>
        <v>0.15848921473676181</v>
      </c>
      <c r="B444">
        <v>443</v>
      </c>
      <c r="C444" t="s">
        <v>8</v>
      </c>
      <c r="D444">
        <v>1</v>
      </c>
      <c r="E444" t="s">
        <v>134</v>
      </c>
      <c r="F444" t="s">
        <v>14</v>
      </c>
      <c r="G444">
        <v>1</v>
      </c>
      <c r="H444">
        <v>3</v>
      </c>
      <c r="I444">
        <v>0</v>
      </c>
      <c r="J444">
        <v>36</v>
      </c>
      <c r="K444">
        <v>7</v>
      </c>
      <c r="L444" t="s">
        <v>31</v>
      </c>
      <c r="M444">
        <v>19</v>
      </c>
    </row>
    <row r="445" spans="1:13">
      <c r="A445">
        <f t="shared" ca="1" si="6"/>
        <v>0.71303424420654604</v>
      </c>
      <c r="B445">
        <v>444</v>
      </c>
      <c r="C445" t="s">
        <v>8</v>
      </c>
      <c r="D445">
        <v>2</v>
      </c>
      <c r="E445" t="s">
        <v>140</v>
      </c>
      <c r="F445" t="s">
        <v>16</v>
      </c>
      <c r="G445">
        <v>1</v>
      </c>
      <c r="H445">
        <v>2</v>
      </c>
      <c r="I445">
        <v>3</v>
      </c>
      <c r="J445">
        <v>30</v>
      </c>
      <c r="K445">
        <v>5</v>
      </c>
      <c r="L445" t="s">
        <v>19</v>
      </c>
      <c r="M445">
        <v>257</v>
      </c>
    </row>
    <row r="446" spans="1:13">
      <c r="A446">
        <f t="shared" ca="1" si="6"/>
        <v>0.48164664904025889</v>
      </c>
      <c r="B446">
        <v>445</v>
      </c>
      <c r="C446" t="s">
        <v>8</v>
      </c>
      <c r="D446">
        <v>3</v>
      </c>
      <c r="E446" t="s">
        <v>135</v>
      </c>
      <c r="F446" t="s">
        <v>15</v>
      </c>
      <c r="G446">
        <v>1</v>
      </c>
      <c r="H446">
        <v>2</v>
      </c>
      <c r="I446">
        <v>1</v>
      </c>
      <c r="J446">
        <v>52</v>
      </c>
      <c r="K446">
        <v>8</v>
      </c>
      <c r="L446" t="s">
        <v>19</v>
      </c>
      <c r="M446">
        <v>99</v>
      </c>
    </row>
    <row r="447" spans="1:13">
      <c r="A447">
        <f t="shared" ca="1" si="6"/>
        <v>0.6517675966757186</v>
      </c>
      <c r="B447">
        <v>446</v>
      </c>
      <c r="C447" t="s">
        <v>8</v>
      </c>
      <c r="D447">
        <v>5</v>
      </c>
      <c r="E447" t="s">
        <v>136</v>
      </c>
      <c r="F447" t="s">
        <v>16</v>
      </c>
      <c r="G447">
        <v>1</v>
      </c>
      <c r="H447">
        <v>2</v>
      </c>
      <c r="I447">
        <v>3</v>
      </c>
      <c r="J447">
        <v>36</v>
      </c>
      <c r="K447">
        <v>7</v>
      </c>
      <c r="L447" t="s">
        <v>19</v>
      </c>
      <c r="M447">
        <v>394</v>
      </c>
    </row>
    <row r="448" spans="1:13">
      <c r="A448">
        <f t="shared" ca="1" si="6"/>
        <v>0.45092340072985082</v>
      </c>
      <c r="B448">
        <v>447</v>
      </c>
      <c r="C448" t="s">
        <v>7</v>
      </c>
      <c r="D448">
        <v>1</v>
      </c>
      <c r="E448" t="s">
        <v>134</v>
      </c>
      <c r="F448" t="s">
        <v>16</v>
      </c>
      <c r="G448">
        <v>1</v>
      </c>
      <c r="H448">
        <v>2</v>
      </c>
      <c r="I448">
        <v>4</v>
      </c>
      <c r="J448">
        <v>45</v>
      </c>
      <c r="K448">
        <v>9</v>
      </c>
      <c r="L448" t="s">
        <v>19</v>
      </c>
      <c r="M448">
        <v>449</v>
      </c>
    </row>
    <row r="449" spans="1:13">
      <c r="A449">
        <f t="shared" ca="1" si="6"/>
        <v>0.20242517490518475</v>
      </c>
      <c r="B449">
        <v>448</v>
      </c>
      <c r="C449" t="s">
        <v>8</v>
      </c>
      <c r="D449">
        <v>4</v>
      </c>
      <c r="E449" t="s">
        <v>137</v>
      </c>
      <c r="F449" t="s">
        <v>14</v>
      </c>
      <c r="G449">
        <v>1</v>
      </c>
      <c r="H449">
        <v>2</v>
      </c>
      <c r="I449">
        <v>2</v>
      </c>
      <c r="J449">
        <v>39</v>
      </c>
      <c r="K449">
        <v>5</v>
      </c>
      <c r="L449" t="s">
        <v>19</v>
      </c>
      <c r="M449">
        <v>167</v>
      </c>
    </row>
    <row r="450" spans="1:13">
      <c r="A450">
        <f t="shared" ref="A450:A501" ca="1" si="7">RAND()</f>
        <v>0.13192613942726339</v>
      </c>
      <c r="B450">
        <v>449</v>
      </c>
      <c r="C450" t="s">
        <v>8</v>
      </c>
      <c r="D450">
        <v>1</v>
      </c>
      <c r="E450" t="s">
        <v>134</v>
      </c>
      <c r="F450" t="s">
        <v>14</v>
      </c>
      <c r="G450">
        <v>1</v>
      </c>
      <c r="H450">
        <v>2</v>
      </c>
      <c r="I450">
        <v>1</v>
      </c>
      <c r="J450">
        <v>53</v>
      </c>
      <c r="K450">
        <v>4</v>
      </c>
      <c r="L450" t="s">
        <v>19</v>
      </c>
      <c r="M450">
        <v>95</v>
      </c>
    </row>
    <row r="451" spans="1:13">
      <c r="A451">
        <f t="shared" ca="1" si="7"/>
        <v>0.78870543189047193</v>
      </c>
      <c r="B451">
        <v>450</v>
      </c>
      <c r="C451" t="s">
        <v>8</v>
      </c>
      <c r="D451">
        <v>2</v>
      </c>
      <c r="E451" t="s">
        <v>140</v>
      </c>
      <c r="F451" t="s">
        <v>14</v>
      </c>
      <c r="G451">
        <v>1</v>
      </c>
      <c r="H451">
        <v>2</v>
      </c>
      <c r="I451">
        <v>3</v>
      </c>
      <c r="J451">
        <v>32</v>
      </c>
      <c r="K451">
        <v>7</v>
      </c>
      <c r="L451" t="s">
        <v>19</v>
      </c>
      <c r="M451">
        <v>398</v>
      </c>
    </row>
    <row r="452" spans="1:13">
      <c r="A452">
        <f t="shared" ca="1" si="7"/>
        <v>0.13078645100204722</v>
      </c>
      <c r="B452">
        <v>451</v>
      </c>
      <c r="C452" t="s">
        <v>8</v>
      </c>
      <c r="D452">
        <v>2</v>
      </c>
      <c r="E452" t="s">
        <v>140</v>
      </c>
      <c r="F452" t="s">
        <v>16</v>
      </c>
      <c r="G452">
        <v>1</v>
      </c>
      <c r="H452">
        <v>2</v>
      </c>
      <c r="I452">
        <v>1</v>
      </c>
      <c r="J452">
        <v>34</v>
      </c>
      <c r="K452">
        <v>1</v>
      </c>
      <c r="L452" t="s">
        <v>31</v>
      </c>
      <c r="M452">
        <v>60</v>
      </c>
    </row>
    <row r="453" spans="1:13">
      <c r="A453">
        <f t="shared" ca="1" si="7"/>
        <v>0.46327434083464636</v>
      </c>
      <c r="B453">
        <v>452</v>
      </c>
      <c r="C453" t="s">
        <v>7</v>
      </c>
      <c r="D453">
        <v>1</v>
      </c>
      <c r="E453" t="s">
        <v>134</v>
      </c>
      <c r="F453" t="s">
        <v>14</v>
      </c>
      <c r="G453">
        <v>1</v>
      </c>
      <c r="H453">
        <v>2</v>
      </c>
      <c r="I453">
        <v>3</v>
      </c>
      <c r="J453">
        <v>32</v>
      </c>
      <c r="K453">
        <v>6</v>
      </c>
      <c r="L453" t="s">
        <v>37</v>
      </c>
      <c r="M453">
        <v>247</v>
      </c>
    </row>
    <row r="454" spans="1:13">
      <c r="A454">
        <f t="shared" ca="1" si="7"/>
        <v>0.20248185381349937</v>
      </c>
      <c r="B454">
        <v>453</v>
      </c>
      <c r="C454" t="s">
        <v>8</v>
      </c>
      <c r="D454">
        <v>5</v>
      </c>
      <c r="E454" t="s">
        <v>136</v>
      </c>
      <c r="F454" t="s">
        <v>16</v>
      </c>
      <c r="G454">
        <v>1</v>
      </c>
      <c r="H454">
        <v>2</v>
      </c>
      <c r="I454">
        <v>3</v>
      </c>
      <c r="J454">
        <v>33</v>
      </c>
      <c r="K454">
        <v>8</v>
      </c>
      <c r="L454" t="s">
        <v>19</v>
      </c>
      <c r="M454">
        <v>324</v>
      </c>
    </row>
    <row r="455" spans="1:13">
      <c r="A455">
        <f t="shared" ca="1" si="7"/>
        <v>0.31571717464165094</v>
      </c>
      <c r="B455">
        <v>454</v>
      </c>
      <c r="C455" t="s">
        <v>8</v>
      </c>
      <c r="D455">
        <v>3</v>
      </c>
      <c r="E455" t="s">
        <v>135</v>
      </c>
      <c r="F455" t="s">
        <v>14</v>
      </c>
      <c r="G455">
        <v>1</v>
      </c>
      <c r="H455">
        <v>2</v>
      </c>
      <c r="I455">
        <v>3</v>
      </c>
      <c r="J455">
        <v>46</v>
      </c>
      <c r="K455">
        <v>4</v>
      </c>
      <c r="L455" t="s">
        <v>19</v>
      </c>
      <c r="M455">
        <v>371</v>
      </c>
    </row>
    <row r="456" spans="1:13">
      <c r="A456">
        <f t="shared" ca="1" si="7"/>
        <v>0.43724103179714369</v>
      </c>
      <c r="B456">
        <v>455</v>
      </c>
      <c r="C456" t="s">
        <v>7</v>
      </c>
      <c r="D456">
        <v>6</v>
      </c>
      <c r="E456" t="s">
        <v>139</v>
      </c>
      <c r="F456" t="s">
        <v>16</v>
      </c>
      <c r="G456">
        <v>1</v>
      </c>
      <c r="H456">
        <v>2</v>
      </c>
      <c r="I456">
        <v>3</v>
      </c>
      <c r="J456">
        <v>43</v>
      </c>
      <c r="K456">
        <v>3</v>
      </c>
      <c r="L456" t="s">
        <v>31</v>
      </c>
      <c r="M456">
        <v>395</v>
      </c>
    </row>
    <row r="457" spans="1:13">
      <c r="A457">
        <f t="shared" ca="1" si="7"/>
        <v>0.85663705686105274</v>
      </c>
      <c r="B457">
        <v>456</v>
      </c>
      <c r="C457" t="s">
        <v>8</v>
      </c>
      <c r="D457">
        <v>2</v>
      </c>
      <c r="E457" t="s">
        <v>140</v>
      </c>
      <c r="F457" t="s">
        <v>15</v>
      </c>
      <c r="G457">
        <v>1</v>
      </c>
      <c r="H457">
        <v>2</v>
      </c>
      <c r="I457">
        <v>2</v>
      </c>
      <c r="J457">
        <v>35</v>
      </c>
      <c r="K457">
        <v>7</v>
      </c>
      <c r="L457" t="s">
        <v>32</v>
      </c>
      <c r="M457">
        <v>190</v>
      </c>
    </row>
    <row r="458" spans="1:13">
      <c r="A458">
        <f t="shared" ca="1" si="7"/>
        <v>0.91638095538559816</v>
      </c>
      <c r="B458">
        <v>457</v>
      </c>
      <c r="C458" t="s">
        <v>8</v>
      </c>
      <c r="D458">
        <v>3</v>
      </c>
      <c r="E458" t="s">
        <v>135</v>
      </c>
      <c r="F458" t="s">
        <v>14</v>
      </c>
      <c r="G458">
        <v>1</v>
      </c>
      <c r="H458">
        <v>2</v>
      </c>
      <c r="I458">
        <v>6</v>
      </c>
      <c r="J458">
        <v>51</v>
      </c>
      <c r="K458">
        <v>7</v>
      </c>
      <c r="L458" t="s">
        <v>19</v>
      </c>
      <c r="M458">
        <v>487</v>
      </c>
    </row>
    <row r="459" spans="1:13">
      <c r="A459">
        <f t="shared" ca="1" si="7"/>
        <v>0.61064193588310434</v>
      </c>
      <c r="B459">
        <v>458</v>
      </c>
      <c r="C459" t="s">
        <v>7</v>
      </c>
      <c r="D459">
        <v>4</v>
      </c>
      <c r="E459" t="s">
        <v>137</v>
      </c>
      <c r="F459" t="s">
        <v>16</v>
      </c>
      <c r="G459">
        <v>1</v>
      </c>
      <c r="H459">
        <v>2</v>
      </c>
      <c r="I459">
        <v>4</v>
      </c>
      <c r="J459">
        <v>29</v>
      </c>
      <c r="K459">
        <v>9</v>
      </c>
      <c r="L459" t="s">
        <v>19</v>
      </c>
      <c r="M459">
        <v>444</v>
      </c>
    </row>
    <row r="460" spans="1:13">
      <c r="A460">
        <f t="shared" ca="1" si="7"/>
        <v>0.62766284052737686</v>
      </c>
      <c r="B460">
        <v>459</v>
      </c>
      <c r="C460" t="s">
        <v>7</v>
      </c>
      <c r="D460">
        <v>1</v>
      </c>
      <c r="E460" t="s">
        <v>134</v>
      </c>
      <c r="F460" t="s">
        <v>15</v>
      </c>
      <c r="G460">
        <v>0.8</v>
      </c>
      <c r="H460">
        <v>4</v>
      </c>
      <c r="I460">
        <v>3</v>
      </c>
      <c r="J460">
        <v>37</v>
      </c>
      <c r="K460">
        <v>9</v>
      </c>
      <c r="L460" t="s">
        <v>19</v>
      </c>
      <c r="M460">
        <v>290</v>
      </c>
    </row>
    <row r="461" spans="1:13">
      <c r="A461">
        <f t="shared" ca="1" si="7"/>
        <v>0.78528182580111427</v>
      </c>
      <c r="B461">
        <v>460</v>
      </c>
      <c r="C461" t="s">
        <v>8</v>
      </c>
      <c r="D461">
        <v>3</v>
      </c>
      <c r="E461" t="s">
        <v>135</v>
      </c>
      <c r="F461" t="s">
        <v>16</v>
      </c>
      <c r="G461">
        <v>1</v>
      </c>
      <c r="H461">
        <v>2</v>
      </c>
      <c r="I461">
        <v>4</v>
      </c>
      <c r="J461">
        <v>45</v>
      </c>
      <c r="K461">
        <v>5</v>
      </c>
      <c r="L461" t="s">
        <v>19</v>
      </c>
      <c r="M461">
        <v>432</v>
      </c>
    </row>
    <row r="462" spans="1:13">
      <c r="A462">
        <f t="shared" ca="1" si="7"/>
        <v>0.96375912579998824</v>
      </c>
      <c r="B462">
        <v>461</v>
      </c>
      <c r="C462" t="s">
        <v>8</v>
      </c>
      <c r="D462">
        <v>1</v>
      </c>
      <c r="E462" t="s">
        <v>134</v>
      </c>
      <c r="F462" t="s">
        <v>14</v>
      </c>
      <c r="G462">
        <v>1</v>
      </c>
      <c r="H462">
        <v>2</v>
      </c>
      <c r="I462">
        <v>3</v>
      </c>
      <c r="J462">
        <v>39</v>
      </c>
      <c r="K462">
        <v>9</v>
      </c>
      <c r="L462" t="s">
        <v>19</v>
      </c>
      <c r="M462">
        <v>303</v>
      </c>
    </row>
    <row r="463" spans="1:13">
      <c r="A463">
        <f t="shared" ca="1" si="7"/>
        <v>0.19832826013789917</v>
      </c>
      <c r="B463">
        <v>462</v>
      </c>
      <c r="C463" t="s">
        <v>8</v>
      </c>
      <c r="D463">
        <v>4</v>
      </c>
      <c r="E463" t="s">
        <v>137</v>
      </c>
      <c r="F463" t="s">
        <v>14</v>
      </c>
      <c r="G463">
        <v>1</v>
      </c>
      <c r="H463">
        <v>2</v>
      </c>
      <c r="I463">
        <v>4</v>
      </c>
      <c r="J463">
        <v>29</v>
      </c>
      <c r="K463">
        <v>4</v>
      </c>
      <c r="L463" t="s">
        <v>19</v>
      </c>
      <c r="M463">
        <v>454</v>
      </c>
    </row>
    <row r="464" spans="1:13">
      <c r="A464">
        <f t="shared" ca="1" si="7"/>
        <v>0.33785055697007305</v>
      </c>
      <c r="B464">
        <v>463</v>
      </c>
      <c r="C464" t="s">
        <v>7</v>
      </c>
      <c r="D464">
        <v>1</v>
      </c>
      <c r="E464" t="s">
        <v>134</v>
      </c>
      <c r="F464" t="s">
        <v>14</v>
      </c>
      <c r="G464">
        <v>1</v>
      </c>
      <c r="H464">
        <v>2</v>
      </c>
      <c r="I464">
        <v>2</v>
      </c>
      <c r="J464">
        <v>44</v>
      </c>
      <c r="K464">
        <v>6</v>
      </c>
      <c r="L464" t="s">
        <v>31</v>
      </c>
      <c r="M464">
        <v>174</v>
      </c>
    </row>
    <row r="465" spans="1:13">
      <c r="A465">
        <f t="shared" ca="1" si="7"/>
        <v>0.89411588844728762</v>
      </c>
      <c r="B465">
        <v>464</v>
      </c>
      <c r="C465" t="s">
        <v>8</v>
      </c>
      <c r="D465">
        <v>1</v>
      </c>
      <c r="E465" t="s">
        <v>134</v>
      </c>
      <c r="F465" t="s">
        <v>16</v>
      </c>
      <c r="G465">
        <v>1</v>
      </c>
      <c r="H465">
        <v>3</v>
      </c>
      <c r="I465">
        <v>1</v>
      </c>
      <c r="J465">
        <v>38</v>
      </c>
      <c r="K465">
        <v>1</v>
      </c>
      <c r="L465" t="s">
        <v>31</v>
      </c>
      <c r="M465">
        <v>121</v>
      </c>
    </row>
    <row r="466" spans="1:13">
      <c r="A466">
        <f t="shared" ca="1" si="7"/>
        <v>0.82498979752751755</v>
      </c>
      <c r="B466">
        <v>465</v>
      </c>
      <c r="C466" t="s">
        <v>8</v>
      </c>
      <c r="D466">
        <v>4</v>
      </c>
      <c r="E466" t="s">
        <v>137</v>
      </c>
      <c r="F466" t="s">
        <v>16</v>
      </c>
      <c r="G466">
        <v>1</v>
      </c>
      <c r="H466">
        <v>2</v>
      </c>
      <c r="I466">
        <v>2</v>
      </c>
      <c r="J466">
        <v>36</v>
      </c>
      <c r="K466">
        <v>6</v>
      </c>
      <c r="L466" t="s">
        <v>19</v>
      </c>
      <c r="M466">
        <v>225</v>
      </c>
    </row>
    <row r="467" spans="1:13">
      <c r="A467">
        <f t="shared" ca="1" si="7"/>
        <v>0.89861732771531189</v>
      </c>
      <c r="B467">
        <v>466</v>
      </c>
      <c r="C467" t="s">
        <v>7</v>
      </c>
      <c r="D467">
        <v>1</v>
      </c>
      <c r="E467" t="s">
        <v>134</v>
      </c>
      <c r="F467" t="s">
        <v>16</v>
      </c>
      <c r="G467">
        <v>0.8</v>
      </c>
      <c r="H467">
        <v>3</v>
      </c>
      <c r="I467">
        <v>4</v>
      </c>
      <c r="J467">
        <v>59</v>
      </c>
      <c r="K467">
        <v>9</v>
      </c>
      <c r="L467" t="s">
        <v>19</v>
      </c>
      <c r="M467">
        <v>441</v>
      </c>
    </row>
    <row r="468" spans="1:13">
      <c r="A468">
        <f t="shared" ca="1" si="7"/>
        <v>0.19094065537106486</v>
      </c>
      <c r="B468">
        <v>467</v>
      </c>
      <c r="C468" t="s">
        <v>8</v>
      </c>
      <c r="D468">
        <v>6</v>
      </c>
      <c r="E468" t="s">
        <v>139</v>
      </c>
      <c r="F468" t="s">
        <v>17</v>
      </c>
      <c r="G468">
        <v>1</v>
      </c>
      <c r="H468">
        <v>2</v>
      </c>
      <c r="I468">
        <v>0</v>
      </c>
      <c r="J468">
        <v>51</v>
      </c>
      <c r="K468">
        <v>5</v>
      </c>
      <c r="L468" t="s">
        <v>30</v>
      </c>
      <c r="M468">
        <v>26</v>
      </c>
    </row>
    <row r="469" spans="1:13">
      <c r="A469">
        <f t="shared" ca="1" si="7"/>
        <v>0.460798301108997</v>
      </c>
      <c r="B469">
        <v>468</v>
      </c>
      <c r="C469" t="s">
        <v>8</v>
      </c>
      <c r="D469">
        <v>6</v>
      </c>
      <c r="E469" t="s">
        <v>139</v>
      </c>
      <c r="F469" t="s">
        <v>17</v>
      </c>
      <c r="G469">
        <v>1</v>
      </c>
      <c r="H469">
        <v>2</v>
      </c>
      <c r="I469">
        <v>1</v>
      </c>
      <c r="J469">
        <v>33</v>
      </c>
      <c r="K469">
        <v>7</v>
      </c>
      <c r="L469" t="s">
        <v>19</v>
      </c>
      <c r="M469">
        <v>57</v>
      </c>
    </row>
    <row r="470" spans="1:13">
      <c r="A470">
        <f t="shared" ca="1" si="7"/>
        <v>0.23105815856130196</v>
      </c>
      <c r="B470">
        <v>469</v>
      </c>
      <c r="C470" t="s">
        <v>8</v>
      </c>
      <c r="D470">
        <v>1</v>
      </c>
      <c r="E470" t="s">
        <v>134</v>
      </c>
      <c r="F470" t="s">
        <v>16</v>
      </c>
      <c r="G470">
        <v>1</v>
      </c>
      <c r="H470">
        <v>2</v>
      </c>
      <c r="I470">
        <v>2</v>
      </c>
      <c r="J470">
        <v>33</v>
      </c>
      <c r="K470">
        <v>3</v>
      </c>
      <c r="L470" t="s">
        <v>31</v>
      </c>
      <c r="M470">
        <v>178</v>
      </c>
    </row>
    <row r="471" spans="1:13">
      <c r="A471">
        <f t="shared" ca="1" si="7"/>
        <v>0.92266423763900274</v>
      </c>
      <c r="B471">
        <v>470</v>
      </c>
      <c r="C471" t="s">
        <v>7</v>
      </c>
      <c r="D471">
        <v>1</v>
      </c>
      <c r="E471" t="s">
        <v>134</v>
      </c>
      <c r="F471" t="s">
        <v>14</v>
      </c>
      <c r="G471">
        <v>1</v>
      </c>
      <c r="H471">
        <v>2</v>
      </c>
      <c r="I471">
        <v>1</v>
      </c>
      <c r="J471">
        <v>48</v>
      </c>
      <c r="K471">
        <v>1</v>
      </c>
      <c r="L471" t="s">
        <v>30</v>
      </c>
      <c r="M471">
        <v>151</v>
      </c>
    </row>
    <row r="472" spans="1:13">
      <c r="A472">
        <f t="shared" ca="1" si="7"/>
        <v>0.40515256277386746</v>
      </c>
      <c r="B472">
        <v>471</v>
      </c>
      <c r="C472" t="s">
        <v>8</v>
      </c>
      <c r="D472">
        <v>1</v>
      </c>
      <c r="E472" t="s">
        <v>134</v>
      </c>
      <c r="F472" t="s">
        <v>15</v>
      </c>
      <c r="G472">
        <v>1</v>
      </c>
      <c r="H472">
        <v>3</v>
      </c>
      <c r="I472">
        <v>1</v>
      </c>
      <c r="J472">
        <v>31</v>
      </c>
      <c r="K472">
        <v>5</v>
      </c>
      <c r="L472" t="s">
        <v>31</v>
      </c>
      <c r="M472">
        <v>88</v>
      </c>
    </row>
    <row r="473" spans="1:13">
      <c r="A473">
        <f t="shared" ca="1" si="7"/>
        <v>0.82994207637922124</v>
      </c>
      <c r="B473">
        <v>472</v>
      </c>
      <c r="C473" t="s">
        <v>8</v>
      </c>
      <c r="D473">
        <v>1</v>
      </c>
      <c r="E473" t="s">
        <v>134</v>
      </c>
      <c r="F473" t="s">
        <v>15</v>
      </c>
      <c r="G473">
        <v>1</v>
      </c>
      <c r="H473">
        <v>2</v>
      </c>
      <c r="I473">
        <v>2</v>
      </c>
      <c r="J473">
        <v>25</v>
      </c>
      <c r="K473">
        <v>5</v>
      </c>
      <c r="L473" t="s">
        <v>19</v>
      </c>
      <c r="M473">
        <v>192</v>
      </c>
    </row>
    <row r="474" spans="1:13">
      <c r="A474">
        <f t="shared" ca="1" si="7"/>
        <v>0.99197809975865714</v>
      </c>
      <c r="B474">
        <v>473</v>
      </c>
      <c r="C474" t="s">
        <v>7</v>
      </c>
      <c r="D474">
        <v>3</v>
      </c>
      <c r="E474" t="s">
        <v>135</v>
      </c>
      <c r="F474" t="s">
        <v>14</v>
      </c>
      <c r="G474">
        <v>1</v>
      </c>
      <c r="H474">
        <v>2</v>
      </c>
      <c r="I474">
        <v>3</v>
      </c>
      <c r="J474">
        <v>51</v>
      </c>
      <c r="K474">
        <v>1</v>
      </c>
      <c r="L474" t="s">
        <v>19</v>
      </c>
      <c r="M474">
        <v>298</v>
      </c>
    </row>
    <row r="475" spans="1:13">
      <c r="A475">
        <f t="shared" ca="1" si="7"/>
        <v>0.59642049903658778</v>
      </c>
      <c r="B475">
        <v>474</v>
      </c>
      <c r="C475" t="s">
        <v>8</v>
      </c>
      <c r="D475">
        <v>3</v>
      </c>
      <c r="E475" t="s">
        <v>135</v>
      </c>
      <c r="F475" t="s">
        <v>16</v>
      </c>
      <c r="G475">
        <v>1</v>
      </c>
      <c r="H475">
        <v>3</v>
      </c>
      <c r="I475">
        <v>2</v>
      </c>
      <c r="J475">
        <v>38</v>
      </c>
      <c r="K475">
        <v>7</v>
      </c>
      <c r="L475" t="s">
        <v>19</v>
      </c>
      <c r="M475">
        <v>191</v>
      </c>
    </row>
    <row r="476" spans="1:13">
      <c r="A476">
        <f t="shared" ca="1" si="7"/>
        <v>0.1168302258696754</v>
      </c>
      <c r="B476">
        <v>475</v>
      </c>
      <c r="C476" t="s">
        <v>7</v>
      </c>
      <c r="D476">
        <v>1</v>
      </c>
      <c r="E476" t="s">
        <v>134</v>
      </c>
      <c r="F476" t="s">
        <v>16</v>
      </c>
      <c r="G476">
        <v>0.7</v>
      </c>
      <c r="H476">
        <v>3</v>
      </c>
      <c r="I476">
        <v>2</v>
      </c>
      <c r="J476">
        <v>50</v>
      </c>
      <c r="K476">
        <v>6</v>
      </c>
      <c r="L476" t="s">
        <v>31</v>
      </c>
      <c r="M476">
        <v>210</v>
      </c>
    </row>
    <row r="477" spans="1:13">
      <c r="A477">
        <f t="shared" ca="1" si="7"/>
        <v>0.92951226797852748</v>
      </c>
      <c r="B477">
        <v>476</v>
      </c>
      <c r="C477" t="s">
        <v>8</v>
      </c>
      <c r="D477">
        <v>1</v>
      </c>
      <c r="E477" t="s">
        <v>134</v>
      </c>
      <c r="F477" t="s">
        <v>14</v>
      </c>
      <c r="G477">
        <v>1</v>
      </c>
      <c r="H477">
        <v>2</v>
      </c>
      <c r="I477">
        <v>3</v>
      </c>
      <c r="J477">
        <v>42</v>
      </c>
      <c r="K477">
        <v>3</v>
      </c>
      <c r="L477" t="s">
        <v>30</v>
      </c>
      <c r="M477">
        <v>254</v>
      </c>
    </row>
    <row r="478" spans="1:13">
      <c r="A478">
        <f t="shared" ca="1" si="7"/>
        <v>0.9143295590429209</v>
      </c>
      <c r="B478">
        <v>477</v>
      </c>
      <c r="C478" t="s">
        <v>7</v>
      </c>
      <c r="D478">
        <v>5</v>
      </c>
      <c r="E478" t="s">
        <v>136</v>
      </c>
      <c r="F478" t="s">
        <v>15</v>
      </c>
      <c r="G478">
        <v>1</v>
      </c>
      <c r="H478">
        <v>3</v>
      </c>
      <c r="I478">
        <v>3</v>
      </c>
      <c r="J478">
        <v>34</v>
      </c>
      <c r="K478">
        <v>6</v>
      </c>
      <c r="L478" t="s">
        <v>42</v>
      </c>
      <c r="M478">
        <v>376</v>
      </c>
    </row>
    <row r="479" spans="1:13">
      <c r="A479">
        <f t="shared" ca="1" si="7"/>
        <v>0.49616704453829008</v>
      </c>
      <c r="B479">
        <v>478</v>
      </c>
      <c r="C479" t="s">
        <v>7</v>
      </c>
      <c r="D479">
        <v>1</v>
      </c>
      <c r="E479" t="s">
        <v>134</v>
      </c>
      <c r="F479" t="s">
        <v>14</v>
      </c>
      <c r="G479">
        <v>1</v>
      </c>
      <c r="H479">
        <v>3</v>
      </c>
      <c r="I479">
        <v>3</v>
      </c>
      <c r="J479">
        <v>40</v>
      </c>
      <c r="K479">
        <v>0</v>
      </c>
      <c r="L479" t="s">
        <v>19</v>
      </c>
      <c r="M479">
        <v>411</v>
      </c>
    </row>
    <row r="480" spans="1:13">
      <c r="A480">
        <f t="shared" ca="1" si="7"/>
        <v>9.4477572874265392E-2</v>
      </c>
      <c r="B480">
        <v>479</v>
      </c>
      <c r="C480" t="s">
        <v>8</v>
      </c>
      <c r="D480">
        <v>1</v>
      </c>
      <c r="E480" t="s">
        <v>134</v>
      </c>
      <c r="F480" t="s">
        <v>14</v>
      </c>
      <c r="G480">
        <v>1</v>
      </c>
      <c r="H480">
        <v>3</v>
      </c>
      <c r="I480">
        <v>2</v>
      </c>
      <c r="J480">
        <v>44</v>
      </c>
      <c r="K480">
        <v>7</v>
      </c>
      <c r="L480" t="s">
        <v>19</v>
      </c>
      <c r="M480">
        <v>223</v>
      </c>
    </row>
    <row r="481" spans="1:13">
      <c r="A481">
        <f t="shared" ca="1" si="7"/>
        <v>0.74403193978670978</v>
      </c>
      <c r="B481">
        <v>480</v>
      </c>
      <c r="C481" t="s">
        <v>8</v>
      </c>
      <c r="D481">
        <v>4</v>
      </c>
      <c r="E481" t="s">
        <v>137</v>
      </c>
      <c r="F481" t="s">
        <v>16</v>
      </c>
      <c r="G481">
        <v>1</v>
      </c>
      <c r="H481">
        <v>2</v>
      </c>
      <c r="I481">
        <v>2</v>
      </c>
      <c r="J481">
        <v>38</v>
      </c>
      <c r="K481">
        <v>0</v>
      </c>
      <c r="L481" t="s">
        <v>19</v>
      </c>
      <c r="M481">
        <v>234</v>
      </c>
    </row>
    <row r="482" spans="1:13">
      <c r="A482">
        <f t="shared" ca="1" si="7"/>
        <v>0.58609812229571701</v>
      </c>
      <c r="B482">
        <v>481</v>
      </c>
      <c r="C482" t="s">
        <v>8</v>
      </c>
      <c r="D482">
        <v>4</v>
      </c>
      <c r="E482" t="s">
        <v>137</v>
      </c>
      <c r="F482" t="s">
        <v>15</v>
      </c>
      <c r="G482">
        <v>1</v>
      </c>
      <c r="H482">
        <v>2</v>
      </c>
      <c r="I482">
        <v>3</v>
      </c>
      <c r="J482">
        <v>53</v>
      </c>
      <c r="K482">
        <v>4</v>
      </c>
      <c r="L482" t="s">
        <v>26</v>
      </c>
      <c r="M482">
        <v>304</v>
      </c>
    </row>
    <row r="483" spans="1:13">
      <c r="A483">
        <f t="shared" ca="1" si="7"/>
        <v>0.391374733520374</v>
      </c>
      <c r="B483">
        <v>482</v>
      </c>
      <c r="C483" t="s">
        <v>8</v>
      </c>
      <c r="D483">
        <v>4</v>
      </c>
      <c r="E483" t="s">
        <v>137</v>
      </c>
      <c r="F483" t="s">
        <v>14</v>
      </c>
      <c r="G483">
        <v>1</v>
      </c>
      <c r="H483">
        <v>3</v>
      </c>
      <c r="I483">
        <v>4</v>
      </c>
      <c r="J483">
        <v>48</v>
      </c>
      <c r="K483">
        <v>9</v>
      </c>
      <c r="L483" t="s">
        <v>19</v>
      </c>
      <c r="M483">
        <v>442</v>
      </c>
    </row>
    <row r="484" spans="1:13">
      <c r="A484">
        <f t="shared" ca="1" si="7"/>
        <v>0.52689942148782787</v>
      </c>
      <c r="B484">
        <v>483</v>
      </c>
      <c r="C484" t="s">
        <v>7</v>
      </c>
      <c r="D484">
        <v>1</v>
      </c>
      <c r="E484" t="s">
        <v>134</v>
      </c>
      <c r="F484" t="s">
        <v>14</v>
      </c>
      <c r="G484">
        <v>0.5</v>
      </c>
      <c r="H484">
        <v>2</v>
      </c>
      <c r="I484">
        <v>1</v>
      </c>
      <c r="J484">
        <v>57</v>
      </c>
      <c r="K484">
        <v>2</v>
      </c>
      <c r="L484" t="s">
        <v>26</v>
      </c>
      <c r="M484">
        <v>143</v>
      </c>
    </row>
    <row r="485" spans="1:13">
      <c r="A485">
        <f t="shared" ca="1" si="7"/>
        <v>0.97666024584076438</v>
      </c>
      <c r="B485">
        <v>484</v>
      </c>
      <c r="C485" t="s">
        <v>8</v>
      </c>
      <c r="D485">
        <v>6</v>
      </c>
      <c r="E485" t="s">
        <v>139</v>
      </c>
      <c r="F485" t="s">
        <v>17</v>
      </c>
      <c r="G485">
        <v>1</v>
      </c>
      <c r="H485">
        <v>3</v>
      </c>
      <c r="I485">
        <v>3</v>
      </c>
      <c r="J485">
        <v>39</v>
      </c>
      <c r="K485">
        <v>0</v>
      </c>
      <c r="L485" t="s">
        <v>25</v>
      </c>
      <c r="M485">
        <v>261</v>
      </c>
    </row>
    <row r="486" spans="1:13">
      <c r="A486">
        <f t="shared" ca="1" si="7"/>
        <v>7.1352817656883394E-3</v>
      </c>
      <c r="B486">
        <v>485</v>
      </c>
      <c r="C486" t="s">
        <v>8</v>
      </c>
      <c r="D486">
        <v>3</v>
      </c>
      <c r="E486" t="s">
        <v>135</v>
      </c>
      <c r="F486" t="s">
        <v>14</v>
      </c>
      <c r="G486">
        <v>1</v>
      </c>
      <c r="H486">
        <v>2</v>
      </c>
      <c r="I486">
        <v>3</v>
      </c>
      <c r="J486">
        <v>57</v>
      </c>
      <c r="K486">
        <v>7</v>
      </c>
      <c r="L486" t="s">
        <v>30</v>
      </c>
      <c r="M486">
        <v>280</v>
      </c>
    </row>
    <row r="487" spans="1:13">
      <c r="A487">
        <f t="shared" ca="1" si="7"/>
        <v>0.45420678930988589</v>
      </c>
      <c r="B487">
        <v>486</v>
      </c>
      <c r="C487" t="s">
        <v>8</v>
      </c>
      <c r="D487">
        <v>1</v>
      </c>
      <c r="E487" t="s">
        <v>134</v>
      </c>
      <c r="F487" t="s">
        <v>14</v>
      </c>
      <c r="G487">
        <v>1</v>
      </c>
      <c r="H487">
        <v>2</v>
      </c>
      <c r="I487">
        <v>1</v>
      </c>
      <c r="J487">
        <v>47</v>
      </c>
      <c r="K487">
        <v>3</v>
      </c>
      <c r="L487" t="s">
        <v>30</v>
      </c>
      <c r="M487">
        <v>63</v>
      </c>
    </row>
    <row r="488" spans="1:13">
      <c r="A488">
        <f t="shared" ca="1" si="7"/>
        <v>0.34671536164455063</v>
      </c>
      <c r="B488">
        <v>487</v>
      </c>
      <c r="C488" t="s">
        <v>7</v>
      </c>
      <c r="D488">
        <v>3</v>
      </c>
      <c r="E488" t="s">
        <v>135</v>
      </c>
      <c r="F488" t="s">
        <v>15</v>
      </c>
      <c r="G488">
        <v>1</v>
      </c>
      <c r="H488">
        <v>2</v>
      </c>
      <c r="I488">
        <v>2</v>
      </c>
      <c r="J488">
        <v>47</v>
      </c>
      <c r="K488">
        <v>5</v>
      </c>
      <c r="L488" t="s">
        <v>19</v>
      </c>
      <c r="M488">
        <v>198</v>
      </c>
    </row>
    <row r="489" spans="1:13">
      <c r="A489">
        <f t="shared" ca="1" si="7"/>
        <v>0.97880804615312766</v>
      </c>
      <c r="B489">
        <v>488</v>
      </c>
      <c r="C489" t="s">
        <v>8</v>
      </c>
      <c r="D489">
        <v>1</v>
      </c>
      <c r="E489" t="s">
        <v>134</v>
      </c>
      <c r="F489" t="s">
        <v>16</v>
      </c>
      <c r="G489">
        <v>1</v>
      </c>
      <c r="H489">
        <v>3</v>
      </c>
      <c r="I489">
        <v>1</v>
      </c>
      <c r="J489">
        <v>40</v>
      </c>
      <c r="K489">
        <v>1</v>
      </c>
      <c r="L489" t="s">
        <v>19</v>
      </c>
      <c r="M489">
        <v>156</v>
      </c>
    </row>
    <row r="490" spans="1:13">
      <c r="A490">
        <f t="shared" ca="1" si="7"/>
        <v>0.6563214925585541</v>
      </c>
      <c r="B490">
        <v>489</v>
      </c>
      <c r="C490" t="s">
        <v>8</v>
      </c>
      <c r="D490">
        <v>3</v>
      </c>
      <c r="E490" t="s">
        <v>135</v>
      </c>
      <c r="F490" t="s">
        <v>14</v>
      </c>
      <c r="G490">
        <v>1</v>
      </c>
      <c r="H490">
        <v>2</v>
      </c>
      <c r="I490">
        <v>1</v>
      </c>
      <c r="J490">
        <v>47</v>
      </c>
      <c r="K490">
        <v>0</v>
      </c>
      <c r="L490" t="s">
        <v>19</v>
      </c>
      <c r="M490">
        <v>152</v>
      </c>
    </row>
    <row r="491" spans="1:13">
      <c r="A491">
        <f t="shared" ca="1" si="7"/>
        <v>0.36291551950430112</v>
      </c>
      <c r="B491">
        <v>490</v>
      </c>
      <c r="C491" t="s">
        <v>8</v>
      </c>
      <c r="D491">
        <v>4</v>
      </c>
      <c r="E491" t="s">
        <v>137</v>
      </c>
      <c r="F491" t="s">
        <v>12</v>
      </c>
      <c r="G491">
        <v>1</v>
      </c>
      <c r="H491">
        <v>1</v>
      </c>
      <c r="I491">
        <v>1</v>
      </c>
      <c r="J491">
        <v>31</v>
      </c>
      <c r="K491">
        <v>0</v>
      </c>
      <c r="L491" t="s">
        <v>19</v>
      </c>
      <c r="M491">
        <v>141</v>
      </c>
    </row>
    <row r="492" spans="1:13">
      <c r="A492">
        <f t="shared" ca="1" si="7"/>
        <v>0.78420326698183074</v>
      </c>
      <c r="B492">
        <v>491</v>
      </c>
      <c r="C492" t="s">
        <v>8</v>
      </c>
      <c r="D492">
        <v>2</v>
      </c>
      <c r="E492" t="s">
        <v>140</v>
      </c>
      <c r="F492" t="s">
        <v>15</v>
      </c>
      <c r="G492">
        <v>1</v>
      </c>
      <c r="H492">
        <v>2</v>
      </c>
      <c r="I492">
        <v>5</v>
      </c>
      <c r="J492">
        <v>51</v>
      </c>
      <c r="K492">
        <v>0</v>
      </c>
      <c r="L492" t="s">
        <v>36</v>
      </c>
      <c r="M492">
        <v>485</v>
      </c>
    </row>
    <row r="493" spans="1:13">
      <c r="A493">
        <f t="shared" ca="1" si="7"/>
        <v>0.40613781116856018</v>
      </c>
      <c r="B493">
        <v>492</v>
      </c>
      <c r="C493" t="s">
        <v>8</v>
      </c>
      <c r="D493">
        <v>5</v>
      </c>
      <c r="E493" t="s">
        <v>136</v>
      </c>
      <c r="F493" t="s">
        <v>16</v>
      </c>
      <c r="G493">
        <v>1</v>
      </c>
      <c r="H493">
        <v>3</v>
      </c>
      <c r="I493">
        <v>3</v>
      </c>
      <c r="J493">
        <v>42</v>
      </c>
      <c r="K493">
        <v>8</v>
      </c>
      <c r="L493" t="s">
        <v>19</v>
      </c>
      <c r="M493">
        <v>373</v>
      </c>
    </row>
    <row r="494" spans="1:13">
      <c r="A494">
        <f t="shared" ca="1" si="7"/>
        <v>0.35849309881680935</v>
      </c>
      <c r="B494">
        <v>493</v>
      </c>
      <c r="C494" t="s">
        <v>8</v>
      </c>
      <c r="D494">
        <v>4</v>
      </c>
      <c r="E494" t="s">
        <v>137</v>
      </c>
      <c r="F494" t="s">
        <v>16</v>
      </c>
      <c r="G494">
        <v>1</v>
      </c>
      <c r="H494">
        <v>1</v>
      </c>
      <c r="I494">
        <v>3</v>
      </c>
      <c r="J494">
        <v>32</v>
      </c>
      <c r="K494">
        <v>4</v>
      </c>
      <c r="L494" t="s">
        <v>31</v>
      </c>
      <c r="M494">
        <v>368</v>
      </c>
    </row>
    <row r="495" spans="1:13">
      <c r="A495">
        <f t="shared" ca="1" si="7"/>
        <v>0.21178541560991138</v>
      </c>
      <c r="B495">
        <v>494</v>
      </c>
      <c r="C495" t="s">
        <v>8</v>
      </c>
      <c r="D495">
        <v>1</v>
      </c>
      <c r="E495" t="s">
        <v>134</v>
      </c>
      <c r="F495" t="s">
        <v>16</v>
      </c>
      <c r="G495">
        <v>1</v>
      </c>
      <c r="H495">
        <v>2</v>
      </c>
      <c r="I495">
        <v>3</v>
      </c>
      <c r="J495">
        <v>33</v>
      </c>
      <c r="K495">
        <v>8</v>
      </c>
      <c r="L495" t="s">
        <v>20</v>
      </c>
      <c r="M495">
        <v>342</v>
      </c>
    </row>
    <row r="496" spans="1:13">
      <c r="A496">
        <f t="shared" ca="1" si="7"/>
        <v>1.8842637361060621E-4</v>
      </c>
      <c r="B496">
        <v>495</v>
      </c>
      <c r="C496" t="s">
        <v>7</v>
      </c>
      <c r="D496">
        <v>1</v>
      </c>
      <c r="E496" t="s">
        <v>134</v>
      </c>
      <c r="F496" t="s">
        <v>14</v>
      </c>
      <c r="G496">
        <v>1</v>
      </c>
      <c r="H496">
        <v>3</v>
      </c>
      <c r="I496">
        <v>3</v>
      </c>
      <c r="J496">
        <v>45</v>
      </c>
      <c r="K496">
        <v>5</v>
      </c>
      <c r="L496" t="s">
        <v>19</v>
      </c>
      <c r="M496">
        <v>380</v>
      </c>
    </row>
    <row r="497" spans="1:13">
      <c r="A497">
        <f t="shared" ca="1" si="7"/>
        <v>0.89058862884073065</v>
      </c>
      <c r="B497">
        <v>496</v>
      </c>
      <c r="C497" t="s">
        <v>8</v>
      </c>
      <c r="D497">
        <v>1</v>
      </c>
      <c r="E497" t="s">
        <v>134</v>
      </c>
      <c r="F497" t="s">
        <v>16</v>
      </c>
      <c r="G497">
        <v>1</v>
      </c>
      <c r="H497">
        <v>2</v>
      </c>
      <c r="I497">
        <v>3</v>
      </c>
      <c r="J497">
        <v>39</v>
      </c>
      <c r="K497">
        <v>3</v>
      </c>
      <c r="L497" t="s">
        <v>30</v>
      </c>
      <c r="M497">
        <v>281</v>
      </c>
    </row>
    <row r="498" spans="1:13">
      <c r="A498">
        <f t="shared" ca="1" si="7"/>
        <v>0.64494799599650432</v>
      </c>
      <c r="B498">
        <v>497</v>
      </c>
      <c r="C498" t="s">
        <v>7</v>
      </c>
      <c r="D498">
        <v>2</v>
      </c>
      <c r="E498" t="s">
        <v>140</v>
      </c>
      <c r="F498" t="s">
        <v>14</v>
      </c>
      <c r="G498">
        <v>0.9</v>
      </c>
      <c r="H498">
        <v>4</v>
      </c>
      <c r="I498">
        <v>3</v>
      </c>
      <c r="J498">
        <v>50</v>
      </c>
      <c r="K498">
        <v>9</v>
      </c>
      <c r="L498" t="s">
        <v>39</v>
      </c>
      <c r="M498">
        <v>366</v>
      </c>
    </row>
    <row r="499" spans="1:13">
      <c r="A499">
        <f t="shared" ca="1" si="7"/>
        <v>1.2177391362429124E-2</v>
      </c>
      <c r="B499">
        <v>498</v>
      </c>
      <c r="C499" t="s">
        <v>8</v>
      </c>
      <c r="D499">
        <v>1</v>
      </c>
      <c r="E499" t="s">
        <v>134</v>
      </c>
      <c r="F499" t="s">
        <v>16</v>
      </c>
      <c r="G499">
        <v>1</v>
      </c>
      <c r="H499">
        <v>2</v>
      </c>
      <c r="I499">
        <v>2</v>
      </c>
      <c r="J499">
        <v>38</v>
      </c>
      <c r="K499">
        <v>9</v>
      </c>
      <c r="L499" t="s">
        <v>35</v>
      </c>
      <c r="M499">
        <v>216</v>
      </c>
    </row>
    <row r="500" spans="1:13">
      <c r="A500">
        <f t="shared" ca="1" si="7"/>
        <v>0.51383547979118971</v>
      </c>
      <c r="B500">
        <v>499</v>
      </c>
      <c r="C500" t="s">
        <v>8</v>
      </c>
      <c r="D500">
        <v>4</v>
      </c>
      <c r="E500" t="s">
        <v>137</v>
      </c>
      <c r="F500" t="s">
        <v>12</v>
      </c>
      <c r="G500">
        <v>1</v>
      </c>
      <c r="H500">
        <v>2</v>
      </c>
      <c r="I500">
        <v>1</v>
      </c>
      <c r="J500">
        <v>42</v>
      </c>
      <c r="K500">
        <v>4</v>
      </c>
      <c r="L500" t="s">
        <v>21</v>
      </c>
      <c r="M500">
        <v>145</v>
      </c>
    </row>
    <row r="501" spans="1:13">
      <c r="A501">
        <f t="shared" ca="1" si="7"/>
        <v>0.51562297878414542</v>
      </c>
      <c r="B501">
        <v>500</v>
      </c>
      <c r="C501" t="s">
        <v>8</v>
      </c>
      <c r="D501">
        <v>4</v>
      </c>
      <c r="E501" t="s">
        <v>137</v>
      </c>
      <c r="F501" t="s">
        <v>14</v>
      </c>
      <c r="G501">
        <v>1</v>
      </c>
      <c r="H501">
        <v>2</v>
      </c>
      <c r="I501">
        <v>3</v>
      </c>
      <c r="J501">
        <v>43</v>
      </c>
      <c r="K501">
        <v>9</v>
      </c>
      <c r="L501" t="s">
        <v>19</v>
      </c>
      <c r="M501">
        <v>354</v>
      </c>
    </row>
  </sheetData>
  <autoFilter ref="A1:M501" xr:uid="{00000000-0009-0000-0000-000001000000}">
    <sortState xmlns:xlrd2="http://schemas.microsoft.com/office/spreadsheetml/2017/richdata2" ref="A2:M501">
      <sortCondition ref="B1:B5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workbookViewId="0">
      <selection activeCell="B3" sqref="B3"/>
    </sheetView>
  </sheetViews>
  <sheetFormatPr defaultRowHeight="13.2"/>
  <sheetData>
    <row r="2" spans="2:3">
      <c r="B2" t="s">
        <v>88</v>
      </c>
      <c r="C2" t="s">
        <v>89</v>
      </c>
    </row>
    <row r="3" spans="2:3">
      <c r="B3" t="s">
        <v>121</v>
      </c>
      <c r="C3" t="s">
        <v>87</v>
      </c>
    </row>
    <row r="4" spans="2:3">
      <c r="B4" t="s">
        <v>86</v>
      </c>
      <c r="C4" t="s">
        <v>121</v>
      </c>
    </row>
    <row r="5" spans="2:3">
      <c r="B5" t="s">
        <v>87</v>
      </c>
      <c r="C5" t="s">
        <v>88</v>
      </c>
    </row>
    <row r="6" spans="2:3">
      <c r="B6" t="s">
        <v>89</v>
      </c>
      <c r="C6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E23"/>
  <sheetViews>
    <sheetView workbookViewId="0">
      <selection activeCell="E22" sqref="E22"/>
    </sheetView>
  </sheetViews>
  <sheetFormatPr defaultRowHeight="13.2"/>
  <cols>
    <col min="4" max="4" width="18.33203125" customWidth="1"/>
  </cols>
  <sheetData>
    <row r="2" spans="3:5">
      <c r="E2">
        <f>SUM(E3:E23)</f>
        <v>500</v>
      </c>
    </row>
    <row r="3" spans="3:5">
      <c r="C3">
        <v>1</v>
      </c>
      <c r="D3" t="s">
        <v>38</v>
      </c>
      <c r="E3">
        <v>6</v>
      </c>
    </row>
    <row r="4" spans="3:5">
      <c r="C4">
        <v>2</v>
      </c>
      <c r="D4" t="s">
        <v>37</v>
      </c>
      <c r="E4">
        <v>1</v>
      </c>
    </row>
    <row r="5" spans="3:5">
      <c r="C5">
        <v>3</v>
      </c>
      <c r="D5" t="s">
        <v>36</v>
      </c>
      <c r="E5">
        <v>8</v>
      </c>
    </row>
    <row r="6" spans="3:5">
      <c r="C6">
        <v>4</v>
      </c>
      <c r="D6" t="s">
        <v>35</v>
      </c>
      <c r="E6">
        <v>1</v>
      </c>
    </row>
    <row r="7" spans="3:5">
      <c r="C7">
        <v>5</v>
      </c>
      <c r="D7" t="s">
        <v>34</v>
      </c>
      <c r="E7">
        <v>1</v>
      </c>
    </row>
    <row r="8" spans="3:5">
      <c r="C8">
        <v>6</v>
      </c>
      <c r="D8" t="s">
        <v>39</v>
      </c>
      <c r="E8">
        <v>5</v>
      </c>
    </row>
    <row r="9" spans="3:5">
      <c r="C9">
        <v>7</v>
      </c>
      <c r="D9" t="s">
        <v>33</v>
      </c>
      <c r="E9">
        <v>1</v>
      </c>
    </row>
    <row r="10" spans="3:5">
      <c r="C10">
        <v>8</v>
      </c>
      <c r="D10" t="s">
        <v>32</v>
      </c>
      <c r="E10">
        <v>4</v>
      </c>
    </row>
    <row r="11" spans="3:5">
      <c r="C11">
        <v>9</v>
      </c>
      <c r="D11" t="s">
        <v>31</v>
      </c>
      <c r="E11">
        <v>92</v>
      </c>
    </row>
    <row r="12" spans="3:5">
      <c r="C12">
        <v>10</v>
      </c>
      <c r="D12" t="s">
        <v>30</v>
      </c>
      <c r="E12">
        <v>65</v>
      </c>
    </row>
    <row r="13" spans="3:5">
      <c r="C13">
        <v>11</v>
      </c>
      <c r="D13" t="s">
        <v>29</v>
      </c>
      <c r="E13">
        <v>1</v>
      </c>
    </row>
    <row r="14" spans="3:5">
      <c r="C14">
        <v>12</v>
      </c>
      <c r="D14" t="s">
        <v>28</v>
      </c>
      <c r="E14">
        <v>2</v>
      </c>
    </row>
    <row r="15" spans="3:5">
      <c r="C15">
        <v>13</v>
      </c>
      <c r="D15" t="s">
        <v>27</v>
      </c>
      <c r="E15">
        <v>1</v>
      </c>
    </row>
    <row r="16" spans="3:5">
      <c r="C16">
        <v>14</v>
      </c>
      <c r="D16" t="s">
        <v>26</v>
      </c>
      <c r="E16">
        <v>32</v>
      </c>
    </row>
    <row r="17" spans="3:5">
      <c r="C17">
        <v>15</v>
      </c>
      <c r="D17" t="s">
        <v>25</v>
      </c>
      <c r="E17">
        <v>1</v>
      </c>
    </row>
    <row r="18" spans="3:5">
      <c r="C18">
        <v>16</v>
      </c>
      <c r="D18" t="s">
        <v>24</v>
      </c>
      <c r="E18">
        <v>1</v>
      </c>
    </row>
    <row r="19" spans="3:5">
      <c r="C19">
        <v>17</v>
      </c>
      <c r="D19" t="s">
        <v>23</v>
      </c>
      <c r="E19">
        <v>1</v>
      </c>
    </row>
    <row r="20" spans="3:5">
      <c r="C20">
        <v>18</v>
      </c>
      <c r="D20" t="s">
        <v>22</v>
      </c>
      <c r="E20">
        <v>1</v>
      </c>
    </row>
    <row r="21" spans="3:5">
      <c r="C21">
        <v>19</v>
      </c>
      <c r="D21" t="s">
        <v>21</v>
      </c>
      <c r="E21">
        <v>6</v>
      </c>
    </row>
    <row r="22" spans="3:5">
      <c r="C22">
        <v>20</v>
      </c>
      <c r="D22" t="s">
        <v>20</v>
      </c>
      <c r="E22">
        <v>2</v>
      </c>
    </row>
    <row r="23" spans="3:5">
      <c r="C23">
        <v>21</v>
      </c>
      <c r="D23" t="s">
        <v>19</v>
      </c>
      <c r="E23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Z514"/>
  <sheetViews>
    <sheetView topLeftCell="M1" workbookViewId="0">
      <selection activeCell="P2" sqref="P2"/>
    </sheetView>
  </sheetViews>
  <sheetFormatPr defaultRowHeight="13.2"/>
  <cols>
    <col min="20" max="20" width="34.6640625" bestFit="1" customWidth="1"/>
    <col min="25" max="25" width="16.88671875" bestFit="1" customWidth="1"/>
    <col min="26" max="26" width="15.33203125" customWidth="1"/>
  </cols>
  <sheetData>
    <row r="1" spans="3:26">
      <c r="E1">
        <v>1</v>
      </c>
      <c r="F1">
        <v>2</v>
      </c>
      <c r="G1">
        <v>3</v>
      </c>
      <c r="H1">
        <v>4</v>
      </c>
      <c r="I1">
        <v>5</v>
      </c>
      <c r="J1">
        <v>6</v>
      </c>
    </row>
    <row r="2" spans="3:26">
      <c r="E2">
        <f t="shared" ref="E2:J2" si="0">SUM(E4:E9)</f>
        <v>191</v>
      </c>
      <c r="F2">
        <f t="shared" si="0"/>
        <v>103</v>
      </c>
      <c r="G2">
        <f t="shared" si="0"/>
        <v>87</v>
      </c>
      <c r="H2">
        <f t="shared" si="0"/>
        <v>62</v>
      </c>
      <c r="I2">
        <f t="shared" si="0"/>
        <v>38</v>
      </c>
      <c r="J2">
        <f t="shared" si="0"/>
        <v>19</v>
      </c>
      <c r="Q2" t="s">
        <v>117</v>
      </c>
      <c r="R2" t="s">
        <v>116</v>
      </c>
      <c r="S2" t="s">
        <v>115</v>
      </c>
    </row>
    <row r="3" spans="3:26">
      <c r="E3">
        <v>191</v>
      </c>
      <c r="F3">
        <v>103</v>
      </c>
      <c r="G3">
        <v>87</v>
      </c>
      <c r="H3">
        <v>62</v>
      </c>
      <c r="I3">
        <v>38</v>
      </c>
      <c r="J3">
        <v>19</v>
      </c>
      <c r="Q3">
        <f>COUNTIF('Pharma Group AG'!$T:$T,T3)</f>
        <v>0</v>
      </c>
      <c r="T3" t="s">
        <v>92</v>
      </c>
      <c r="U3" t="s">
        <v>118</v>
      </c>
      <c r="Y3" t="s">
        <v>89</v>
      </c>
      <c r="Z3" t="s">
        <v>119</v>
      </c>
    </row>
    <row r="4" spans="3:26">
      <c r="C4" t="s">
        <v>12</v>
      </c>
      <c r="E4">
        <v>4</v>
      </c>
      <c r="F4">
        <v>4</v>
      </c>
      <c r="G4">
        <v>4</v>
      </c>
      <c r="H4">
        <v>3</v>
      </c>
      <c r="I4">
        <v>2</v>
      </c>
      <c r="J4">
        <v>1</v>
      </c>
      <c r="Q4">
        <f>COUNTIF('Pharma Group AG'!$T:$T,T4)</f>
        <v>0</v>
      </c>
      <c r="T4" t="s">
        <v>93</v>
      </c>
      <c r="U4" t="s">
        <v>118</v>
      </c>
      <c r="Y4" t="s">
        <v>88</v>
      </c>
      <c r="Z4" t="s">
        <v>120</v>
      </c>
    </row>
    <row r="5" spans="3:26">
      <c r="C5" t="s">
        <v>13</v>
      </c>
      <c r="E5">
        <v>4</v>
      </c>
      <c r="F5">
        <v>3</v>
      </c>
      <c r="G5">
        <v>4</v>
      </c>
      <c r="H5">
        <v>3</v>
      </c>
      <c r="I5">
        <v>2</v>
      </c>
      <c r="J5">
        <v>1</v>
      </c>
      <c r="Q5">
        <f>COUNTIF('Pharma Group AG'!$T:$T,T5)</f>
        <v>0</v>
      </c>
      <c r="T5" t="s">
        <v>94</v>
      </c>
      <c r="U5" t="s">
        <v>118</v>
      </c>
      <c r="Y5" t="s">
        <v>87</v>
      </c>
      <c r="Z5" t="s">
        <v>119</v>
      </c>
    </row>
    <row r="6" spans="3:26">
      <c r="C6" t="s">
        <v>15</v>
      </c>
      <c r="E6">
        <v>25</v>
      </c>
      <c r="F6">
        <v>12</v>
      </c>
      <c r="G6">
        <v>14</v>
      </c>
      <c r="H6">
        <v>10</v>
      </c>
      <c r="I6">
        <v>10</v>
      </c>
      <c r="J6">
        <v>2</v>
      </c>
      <c r="Q6">
        <f>COUNTIF('Pharma Group AG'!$T:$T,T6)</f>
        <v>0</v>
      </c>
      <c r="T6" t="s">
        <v>96</v>
      </c>
      <c r="U6" t="s">
        <v>119</v>
      </c>
      <c r="Y6" t="s">
        <v>121</v>
      </c>
      <c r="Z6" t="s">
        <v>119</v>
      </c>
    </row>
    <row r="7" spans="3:26">
      <c r="C7" t="s">
        <v>14</v>
      </c>
      <c r="E7">
        <v>98</v>
      </c>
      <c r="F7">
        <v>38</v>
      </c>
      <c r="G7">
        <v>35</v>
      </c>
      <c r="H7">
        <v>24</v>
      </c>
      <c r="I7">
        <v>11</v>
      </c>
      <c r="J7">
        <v>1</v>
      </c>
      <c r="Q7">
        <f>COUNTIF('Pharma Group AG'!$T:$T,T7)</f>
        <v>0</v>
      </c>
      <c r="T7" t="s">
        <v>98</v>
      </c>
      <c r="U7" t="s">
        <v>118</v>
      </c>
      <c r="Y7" t="s">
        <v>86</v>
      </c>
      <c r="Z7" t="s">
        <v>119</v>
      </c>
    </row>
    <row r="8" spans="3:26">
      <c r="C8" t="s">
        <v>16</v>
      </c>
      <c r="E8">
        <v>58</v>
      </c>
      <c r="F8">
        <v>44</v>
      </c>
      <c r="G8">
        <v>28</v>
      </c>
      <c r="H8">
        <v>20</v>
      </c>
      <c r="I8">
        <v>10</v>
      </c>
      <c r="J8">
        <v>1</v>
      </c>
      <c r="Q8">
        <f>COUNTIF('Pharma Group AG'!$T:$T,T8)</f>
        <v>0</v>
      </c>
      <c r="T8" t="s">
        <v>91</v>
      </c>
      <c r="U8" t="s">
        <v>118</v>
      </c>
    </row>
    <row r="9" spans="3:26">
      <c r="C9" t="s">
        <v>17</v>
      </c>
      <c r="E9">
        <v>2</v>
      </c>
      <c r="F9">
        <v>2</v>
      </c>
      <c r="G9">
        <v>2</v>
      </c>
      <c r="H9">
        <v>2</v>
      </c>
      <c r="I9">
        <v>3</v>
      </c>
      <c r="J9">
        <v>13</v>
      </c>
      <c r="Q9">
        <f>COUNTIF('Pharma Group AG'!$T:$T,T9)</f>
        <v>0</v>
      </c>
      <c r="T9" t="s">
        <v>99</v>
      </c>
      <c r="U9" t="s">
        <v>118</v>
      </c>
    </row>
    <row r="10" spans="3:26">
      <c r="Q10">
        <f>COUNTIF('Pharma Group AG'!$T:$T,T10)</f>
        <v>0</v>
      </c>
      <c r="T10" t="s">
        <v>100</v>
      </c>
      <c r="U10" t="s">
        <v>118</v>
      </c>
    </row>
    <row r="11" spans="3:26">
      <c r="Q11">
        <f>COUNTIF('Pharma Group AG'!$T:$T,T11)</f>
        <v>0</v>
      </c>
      <c r="T11" t="s">
        <v>95</v>
      </c>
      <c r="U11" t="s">
        <v>120</v>
      </c>
    </row>
    <row r="12" spans="3:26">
      <c r="Q12">
        <f>COUNTIF('Pharma Group AG'!$T:$T,T12)</f>
        <v>0</v>
      </c>
      <c r="T12" t="s">
        <v>103</v>
      </c>
      <c r="U12" t="s">
        <v>119</v>
      </c>
    </row>
    <row r="13" spans="3:26">
      <c r="Q13">
        <f>COUNTIF('Pharma Group AG'!$T:$T,T13)</f>
        <v>0</v>
      </c>
      <c r="T13" t="s">
        <v>97</v>
      </c>
      <c r="U13" t="s">
        <v>120</v>
      </c>
    </row>
    <row r="14" spans="3:26">
      <c r="Q14">
        <f>COUNTIF('Pharma Group AG'!$T:$T,T14)</f>
        <v>0</v>
      </c>
      <c r="T14" t="s">
        <v>106</v>
      </c>
      <c r="U14" t="s">
        <v>118</v>
      </c>
    </row>
    <row r="15" spans="3:26">
      <c r="J15">
        <v>1</v>
      </c>
      <c r="K15">
        <v>2</v>
      </c>
      <c r="M15">
        <v>1</v>
      </c>
      <c r="N15">
        <v>0</v>
      </c>
      <c r="Q15">
        <f>COUNTIF('Pharma Group AG'!$T:$T,T15)</f>
        <v>0</v>
      </c>
      <c r="T15" t="s">
        <v>107</v>
      </c>
      <c r="U15" t="s">
        <v>118</v>
      </c>
    </row>
    <row r="16" spans="3:26">
      <c r="J16">
        <v>2</v>
      </c>
      <c r="K16">
        <v>3</v>
      </c>
      <c r="M16">
        <v>2</v>
      </c>
      <c r="N16">
        <v>0</v>
      </c>
      <c r="Q16">
        <f>COUNTIF('Pharma Group AG'!$T:$T,T16)</f>
        <v>0</v>
      </c>
      <c r="T16" t="s">
        <v>101</v>
      </c>
      <c r="U16" t="s">
        <v>118</v>
      </c>
    </row>
    <row r="17" spans="10:21">
      <c r="J17">
        <v>3</v>
      </c>
      <c r="K17">
        <v>2</v>
      </c>
      <c r="M17">
        <v>3</v>
      </c>
      <c r="N17">
        <v>0</v>
      </c>
      <c r="Q17">
        <f>COUNTIF('Pharma Group AG'!$T:$T,T17)</f>
        <v>0</v>
      </c>
      <c r="T17" t="s">
        <v>102</v>
      </c>
      <c r="U17" t="s">
        <v>119</v>
      </c>
    </row>
    <row r="18" spans="10:21">
      <c r="J18">
        <v>4</v>
      </c>
      <c r="K18">
        <v>2</v>
      </c>
      <c r="M18">
        <v>4</v>
      </c>
      <c r="N18">
        <v>0</v>
      </c>
      <c r="Q18">
        <f>COUNTIF('Pharma Group AG'!$T:$T,T18)</f>
        <v>0</v>
      </c>
      <c r="T18" t="s">
        <v>104</v>
      </c>
      <c r="U18" t="s">
        <v>119</v>
      </c>
    </row>
    <row r="19" spans="10:21">
      <c r="J19">
        <v>5</v>
      </c>
      <c r="K19">
        <v>3</v>
      </c>
      <c r="M19">
        <v>5</v>
      </c>
      <c r="N19">
        <v>0</v>
      </c>
      <c r="Q19">
        <f>COUNTIF('Pharma Group AG'!$T:$T,T19)</f>
        <v>0</v>
      </c>
      <c r="T19" t="s">
        <v>105</v>
      </c>
      <c r="U19" t="s">
        <v>120</v>
      </c>
    </row>
    <row r="20" spans="10:21">
      <c r="J20">
        <v>6</v>
      </c>
      <c r="K20">
        <v>2</v>
      </c>
      <c r="M20">
        <v>6</v>
      </c>
      <c r="N20">
        <v>0</v>
      </c>
      <c r="Q20">
        <f>COUNTIF('Pharma Group AG'!$T:$T,T20)</f>
        <v>0</v>
      </c>
      <c r="T20" t="s">
        <v>108</v>
      </c>
      <c r="U20" t="s">
        <v>118</v>
      </c>
    </row>
    <row r="21" spans="10:21">
      <c r="J21">
        <v>7</v>
      </c>
      <c r="K21">
        <v>2</v>
      </c>
      <c r="M21">
        <v>7</v>
      </c>
      <c r="N21">
        <v>0</v>
      </c>
      <c r="Q21">
        <f>COUNTIF('Pharma Group AG'!$T:$T,T21)</f>
        <v>0</v>
      </c>
      <c r="T21" t="s">
        <v>122</v>
      </c>
      <c r="U21" t="s">
        <v>118</v>
      </c>
    </row>
    <row r="22" spans="10:21">
      <c r="J22">
        <v>8</v>
      </c>
      <c r="K22">
        <v>2</v>
      </c>
      <c r="M22">
        <v>8</v>
      </c>
      <c r="N22">
        <v>0</v>
      </c>
      <c r="Q22">
        <f>COUNTIF('Pharma Group AG'!$T:$T,T22)</f>
        <v>0</v>
      </c>
      <c r="T22" t="s">
        <v>123</v>
      </c>
      <c r="U22" t="s">
        <v>118</v>
      </c>
    </row>
    <row r="23" spans="10:21">
      <c r="J23">
        <v>9</v>
      </c>
      <c r="K23">
        <v>2</v>
      </c>
      <c r="M23">
        <v>9</v>
      </c>
      <c r="N23">
        <v>0</v>
      </c>
      <c r="Q23">
        <f>COUNTIF('Pharma Group AG'!$T:$T,T23)</f>
        <v>0</v>
      </c>
      <c r="T23" t="s">
        <v>124</v>
      </c>
      <c r="U23" t="s">
        <v>119</v>
      </c>
    </row>
    <row r="24" spans="10:21">
      <c r="J24">
        <v>10</v>
      </c>
      <c r="K24">
        <v>2</v>
      </c>
      <c r="M24">
        <v>10</v>
      </c>
      <c r="N24">
        <v>0</v>
      </c>
      <c r="Q24">
        <f>COUNTIF('Pharma Group AG'!$T:$T,T24)</f>
        <v>0</v>
      </c>
      <c r="T24" t="s">
        <v>125</v>
      </c>
      <c r="U24" t="s">
        <v>119</v>
      </c>
    </row>
    <row r="25" spans="10:21">
      <c r="J25">
        <v>11</v>
      </c>
      <c r="K25">
        <v>2</v>
      </c>
      <c r="M25">
        <v>11</v>
      </c>
      <c r="N25">
        <v>0</v>
      </c>
      <c r="Q25">
        <f>COUNTIF('Pharma Group AG'!$T:$T,T25)</f>
        <v>0</v>
      </c>
      <c r="T25" t="s">
        <v>126</v>
      </c>
      <c r="U25" t="s">
        <v>119</v>
      </c>
    </row>
    <row r="26" spans="10:21">
      <c r="J26">
        <v>12</v>
      </c>
      <c r="K26">
        <v>2</v>
      </c>
      <c r="M26">
        <v>12</v>
      </c>
      <c r="N26">
        <v>0</v>
      </c>
      <c r="Q26">
        <f>COUNTIF('Pharma Group AG'!$T:$T,T26)</f>
        <v>0</v>
      </c>
      <c r="T26" t="s">
        <v>127</v>
      </c>
      <c r="U26" t="s">
        <v>118</v>
      </c>
    </row>
    <row r="27" spans="10:21">
      <c r="J27">
        <v>13</v>
      </c>
      <c r="K27">
        <v>1</v>
      </c>
      <c r="M27">
        <v>13</v>
      </c>
      <c r="N27">
        <v>0</v>
      </c>
      <c r="Q27">
        <f>COUNTIF('Pharma Group AG'!$T:$T,T27)</f>
        <v>0</v>
      </c>
      <c r="T27" t="s">
        <v>114</v>
      </c>
      <c r="U27" t="s">
        <v>118</v>
      </c>
    </row>
    <row r="28" spans="10:21">
      <c r="J28">
        <v>14</v>
      </c>
      <c r="K28">
        <v>2</v>
      </c>
      <c r="M28">
        <v>14</v>
      </c>
      <c r="N28">
        <v>0</v>
      </c>
      <c r="Q28">
        <f>COUNTIF('Pharma Group AG'!$T:$T,T28)</f>
        <v>0</v>
      </c>
      <c r="T28" t="s">
        <v>109</v>
      </c>
      <c r="U28" t="s">
        <v>118</v>
      </c>
    </row>
    <row r="29" spans="10:21">
      <c r="J29">
        <v>15</v>
      </c>
      <c r="K29">
        <v>2</v>
      </c>
      <c r="M29">
        <v>15</v>
      </c>
      <c r="N29">
        <v>0</v>
      </c>
      <c r="Q29">
        <f>COUNTIF('Pharma Group AG'!$T:$T,T29)</f>
        <v>0</v>
      </c>
      <c r="T29" t="s">
        <v>110</v>
      </c>
      <c r="U29" t="s">
        <v>119</v>
      </c>
    </row>
    <row r="30" spans="10:21">
      <c r="J30">
        <v>16</v>
      </c>
      <c r="K30">
        <v>2</v>
      </c>
      <c r="M30">
        <v>16</v>
      </c>
      <c r="N30">
        <v>0</v>
      </c>
      <c r="Q30">
        <f>COUNTIF('Pharma Group AG'!$T:$T,T30)</f>
        <v>0</v>
      </c>
      <c r="T30" t="s">
        <v>111</v>
      </c>
      <c r="U30" t="s">
        <v>119</v>
      </c>
    </row>
    <row r="31" spans="10:21">
      <c r="J31">
        <v>17</v>
      </c>
      <c r="K31">
        <v>2</v>
      </c>
      <c r="M31">
        <v>17</v>
      </c>
      <c r="N31">
        <v>0</v>
      </c>
      <c r="Q31">
        <f>COUNTIF('Pharma Group AG'!$T:$T,T31)</f>
        <v>0</v>
      </c>
      <c r="T31" t="s">
        <v>112</v>
      </c>
      <c r="U31" t="s">
        <v>119</v>
      </c>
    </row>
    <row r="32" spans="10:21">
      <c r="J32">
        <v>18</v>
      </c>
      <c r="K32">
        <v>0</v>
      </c>
      <c r="M32">
        <v>18</v>
      </c>
      <c r="N32">
        <v>0</v>
      </c>
      <c r="Q32">
        <f>COUNTIF('Pharma Group AG'!$T:$T,T32)</f>
        <v>0</v>
      </c>
      <c r="T32" t="s">
        <v>113</v>
      </c>
      <c r="U32" t="s">
        <v>118</v>
      </c>
    </row>
    <row r="33" spans="10:14">
      <c r="J33">
        <v>19</v>
      </c>
      <c r="K33">
        <v>0</v>
      </c>
      <c r="M33">
        <v>19</v>
      </c>
      <c r="N33">
        <v>0</v>
      </c>
    </row>
    <row r="34" spans="10:14">
      <c r="J34">
        <v>20</v>
      </c>
      <c r="K34">
        <v>1</v>
      </c>
      <c r="M34">
        <v>20</v>
      </c>
      <c r="N34">
        <v>0</v>
      </c>
    </row>
    <row r="35" spans="10:14">
      <c r="J35">
        <v>21</v>
      </c>
      <c r="K35">
        <v>2</v>
      </c>
      <c r="M35">
        <v>21</v>
      </c>
      <c r="N35">
        <v>0</v>
      </c>
    </row>
    <row r="36" spans="10:14">
      <c r="J36">
        <v>22</v>
      </c>
      <c r="K36">
        <v>3</v>
      </c>
      <c r="M36">
        <v>22</v>
      </c>
      <c r="N36">
        <v>0</v>
      </c>
    </row>
    <row r="37" spans="10:14">
      <c r="J37">
        <v>23</v>
      </c>
      <c r="K37">
        <v>2</v>
      </c>
      <c r="M37">
        <v>23</v>
      </c>
      <c r="N37">
        <v>0</v>
      </c>
    </row>
    <row r="38" spans="10:14">
      <c r="J38">
        <v>24</v>
      </c>
      <c r="K38">
        <v>2</v>
      </c>
      <c r="M38">
        <v>24</v>
      </c>
      <c r="N38">
        <v>0</v>
      </c>
    </row>
    <row r="39" spans="10:14">
      <c r="J39">
        <v>25</v>
      </c>
      <c r="K39">
        <v>2</v>
      </c>
      <c r="M39">
        <v>25</v>
      </c>
      <c r="N39">
        <v>0</v>
      </c>
    </row>
    <row r="40" spans="10:14">
      <c r="J40">
        <v>26</v>
      </c>
      <c r="K40">
        <v>2</v>
      </c>
      <c r="M40">
        <v>26</v>
      </c>
      <c r="N40">
        <v>0</v>
      </c>
    </row>
    <row r="41" spans="10:14">
      <c r="J41">
        <v>27</v>
      </c>
      <c r="K41">
        <v>2</v>
      </c>
      <c r="M41">
        <v>27</v>
      </c>
      <c r="N41">
        <v>0</v>
      </c>
    </row>
    <row r="42" spans="10:14">
      <c r="J42">
        <v>28</v>
      </c>
      <c r="K42">
        <v>3</v>
      </c>
      <c r="M42">
        <v>28</v>
      </c>
      <c r="N42">
        <v>0</v>
      </c>
    </row>
    <row r="43" spans="10:14">
      <c r="J43">
        <v>29</v>
      </c>
      <c r="K43">
        <v>2</v>
      </c>
      <c r="M43">
        <v>29</v>
      </c>
      <c r="N43">
        <v>0</v>
      </c>
    </row>
    <row r="44" spans="10:14">
      <c r="J44">
        <v>30</v>
      </c>
      <c r="K44">
        <v>2</v>
      </c>
      <c r="M44">
        <v>30</v>
      </c>
      <c r="N44">
        <v>0</v>
      </c>
    </row>
    <row r="45" spans="10:14">
      <c r="J45">
        <v>31</v>
      </c>
      <c r="K45">
        <v>2</v>
      </c>
      <c r="M45">
        <v>31</v>
      </c>
      <c r="N45">
        <v>0</v>
      </c>
    </row>
    <row r="46" spans="10:14">
      <c r="J46">
        <v>32</v>
      </c>
      <c r="K46">
        <v>2</v>
      </c>
      <c r="M46">
        <v>32</v>
      </c>
      <c r="N46">
        <v>0</v>
      </c>
    </row>
    <row r="47" spans="10:14">
      <c r="J47">
        <v>33</v>
      </c>
      <c r="K47">
        <v>2</v>
      </c>
      <c r="M47">
        <v>33</v>
      </c>
      <c r="N47">
        <v>0</v>
      </c>
    </row>
    <row r="48" spans="10:14">
      <c r="J48">
        <v>34</v>
      </c>
      <c r="K48">
        <v>2</v>
      </c>
      <c r="M48">
        <v>34</v>
      </c>
      <c r="N48">
        <v>0</v>
      </c>
    </row>
    <row r="49" spans="10:14">
      <c r="J49">
        <v>35</v>
      </c>
      <c r="K49">
        <v>3</v>
      </c>
      <c r="M49">
        <v>35</v>
      </c>
      <c r="N49">
        <v>0</v>
      </c>
    </row>
    <row r="50" spans="10:14">
      <c r="J50">
        <v>36</v>
      </c>
      <c r="K50">
        <v>3</v>
      </c>
      <c r="M50">
        <v>36</v>
      </c>
      <c r="N50">
        <v>0</v>
      </c>
    </row>
    <row r="51" spans="10:14">
      <c r="J51">
        <v>37</v>
      </c>
      <c r="K51">
        <v>2</v>
      </c>
      <c r="M51">
        <v>37</v>
      </c>
      <c r="N51">
        <v>0</v>
      </c>
    </row>
    <row r="52" spans="10:14">
      <c r="J52">
        <v>38</v>
      </c>
      <c r="K52">
        <v>2</v>
      </c>
      <c r="M52">
        <v>38</v>
      </c>
      <c r="N52">
        <v>0</v>
      </c>
    </row>
    <row r="53" spans="10:14">
      <c r="J53">
        <v>39</v>
      </c>
      <c r="K53">
        <v>2</v>
      </c>
      <c r="M53">
        <v>39</v>
      </c>
      <c r="N53">
        <v>0</v>
      </c>
    </row>
    <row r="54" spans="10:14">
      <c r="J54">
        <v>40</v>
      </c>
      <c r="K54">
        <v>2</v>
      </c>
      <c r="M54">
        <v>40</v>
      </c>
      <c r="N54">
        <v>0</v>
      </c>
    </row>
    <row r="55" spans="10:14">
      <c r="J55">
        <v>41</v>
      </c>
      <c r="K55">
        <v>2</v>
      </c>
      <c r="M55">
        <v>41</v>
      </c>
      <c r="N55">
        <v>0</v>
      </c>
    </row>
    <row r="56" spans="10:14">
      <c r="J56">
        <v>42</v>
      </c>
      <c r="K56">
        <v>2</v>
      </c>
      <c r="M56">
        <v>42</v>
      </c>
      <c r="N56">
        <v>0</v>
      </c>
    </row>
    <row r="57" spans="10:14">
      <c r="J57">
        <v>43</v>
      </c>
      <c r="K57">
        <v>3</v>
      </c>
      <c r="M57">
        <v>43</v>
      </c>
      <c r="N57">
        <v>0</v>
      </c>
    </row>
    <row r="58" spans="10:14">
      <c r="J58">
        <v>44</v>
      </c>
      <c r="K58">
        <v>2</v>
      </c>
      <c r="M58">
        <v>44</v>
      </c>
      <c r="N58">
        <v>0</v>
      </c>
    </row>
    <row r="59" spans="10:14">
      <c r="J59">
        <v>45</v>
      </c>
      <c r="K59">
        <v>2</v>
      </c>
      <c r="M59">
        <v>45</v>
      </c>
      <c r="N59">
        <v>0</v>
      </c>
    </row>
    <row r="60" spans="10:14">
      <c r="J60">
        <v>46</v>
      </c>
      <c r="K60">
        <v>2</v>
      </c>
      <c r="M60">
        <v>46</v>
      </c>
      <c r="N60">
        <v>0</v>
      </c>
    </row>
    <row r="61" spans="10:14">
      <c r="J61">
        <v>47</v>
      </c>
      <c r="K61">
        <v>3</v>
      </c>
      <c r="M61">
        <v>47</v>
      </c>
      <c r="N61">
        <v>0</v>
      </c>
    </row>
    <row r="62" spans="10:14">
      <c r="J62">
        <v>48</v>
      </c>
      <c r="K62">
        <v>1</v>
      </c>
      <c r="M62">
        <v>48</v>
      </c>
      <c r="N62">
        <v>0</v>
      </c>
    </row>
    <row r="63" spans="10:14">
      <c r="J63">
        <v>49</v>
      </c>
      <c r="K63">
        <v>0</v>
      </c>
      <c r="M63">
        <v>49</v>
      </c>
      <c r="N63">
        <v>0</v>
      </c>
    </row>
    <row r="64" spans="10:14">
      <c r="J64">
        <v>50</v>
      </c>
      <c r="K64">
        <v>3</v>
      </c>
      <c r="M64">
        <v>50</v>
      </c>
      <c r="N64">
        <v>0</v>
      </c>
    </row>
    <row r="65" spans="10:14">
      <c r="J65">
        <v>51</v>
      </c>
      <c r="K65">
        <v>2</v>
      </c>
      <c r="M65">
        <v>51</v>
      </c>
      <c r="N65">
        <v>1</v>
      </c>
    </row>
    <row r="66" spans="10:14">
      <c r="J66">
        <v>52</v>
      </c>
      <c r="K66">
        <v>2</v>
      </c>
      <c r="M66">
        <v>52</v>
      </c>
      <c r="N66">
        <v>1</v>
      </c>
    </row>
    <row r="67" spans="10:14">
      <c r="J67">
        <v>53</v>
      </c>
      <c r="K67">
        <v>3</v>
      </c>
      <c r="M67">
        <v>53</v>
      </c>
      <c r="N67">
        <v>1</v>
      </c>
    </row>
    <row r="68" spans="10:14">
      <c r="J68">
        <v>54</v>
      </c>
      <c r="K68">
        <v>2</v>
      </c>
      <c r="M68">
        <v>54</v>
      </c>
      <c r="N68">
        <v>1</v>
      </c>
    </row>
    <row r="69" spans="10:14">
      <c r="J69">
        <v>55</v>
      </c>
      <c r="K69">
        <v>2</v>
      </c>
      <c r="M69">
        <v>55</v>
      </c>
      <c r="N69">
        <v>1</v>
      </c>
    </row>
    <row r="70" spans="10:14">
      <c r="J70">
        <v>56</v>
      </c>
      <c r="K70">
        <v>2</v>
      </c>
      <c r="M70">
        <v>56</v>
      </c>
      <c r="N70">
        <v>1</v>
      </c>
    </row>
    <row r="71" spans="10:14">
      <c r="J71">
        <v>57</v>
      </c>
      <c r="K71">
        <v>2</v>
      </c>
      <c r="M71">
        <v>57</v>
      </c>
      <c r="N71">
        <v>1</v>
      </c>
    </row>
    <row r="72" spans="10:14">
      <c r="J72">
        <v>58</v>
      </c>
      <c r="K72">
        <v>3</v>
      </c>
      <c r="M72">
        <v>58</v>
      </c>
      <c r="N72">
        <v>1</v>
      </c>
    </row>
    <row r="73" spans="10:14">
      <c r="J73">
        <v>59</v>
      </c>
      <c r="K73">
        <v>2</v>
      </c>
      <c r="M73">
        <v>59</v>
      </c>
      <c r="N73">
        <v>1</v>
      </c>
    </row>
    <row r="74" spans="10:14">
      <c r="J74">
        <v>60</v>
      </c>
      <c r="K74">
        <v>2</v>
      </c>
      <c r="M74">
        <v>60</v>
      </c>
      <c r="N74">
        <v>1</v>
      </c>
    </row>
    <row r="75" spans="10:14">
      <c r="J75">
        <v>61</v>
      </c>
      <c r="K75">
        <v>2</v>
      </c>
      <c r="M75">
        <v>61</v>
      </c>
      <c r="N75">
        <v>1</v>
      </c>
    </row>
    <row r="76" spans="10:14">
      <c r="J76">
        <v>62</v>
      </c>
      <c r="K76">
        <v>2</v>
      </c>
      <c r="M76">
        <v>62</v>
      </c>
      <c r="N76">
        <v>1</v>
      </c>
    </row>
    <row r="77" spans="10:14">
      <c r="J77">
        <v>63</v>
      </c>
      <c r="K77">
        <v>2</v>
      </c>
      <c r="M77">
        <v>63</v>
      </c>
      <c r="N77">
        <v>1</v>
      </c>
    </row>
    <row r="78" spans="10:14">
      <c r="J78">
        <v>64</v>
      </c>
      <c r="K78">
        <v>2</v>
      </c>
      <c r="M78">
        <v>64</v>
      </c>
      <c r="N78">
        <v>1</v>
      </c>
    </row>
    <row r="79" spans="10:14">
      <c r="J79">
        <v>65</v>
      </c>
      <c r="K79">
        <v>2</v>
      </c>
      <c r="M79">
        <v>65</v>
      </c>
      <c r="N79">
        <v>1</v>
      </c>
    </row>
    <row r="80" spans="10:14">
      <c r="J80">
        <v>66</v>
      </c>
      <c r="K80">
        <v>1</v>
      </c>
      <c r="M80">
        <v>66</v>
      </c>
      <c r="N80">
        <v>1</v>
      </c>
    </row>
    <row r="81" spans="10:14">
      <c r="J81">
        <v>67</v>
      </c>
      <c r="K81">
        <v>2</v>
      </c>
      <c r="M81">
        <v>67</v>
      </c>
      <c r="N81">
        <v>1</v>
      </c>
    </row>
    <row r="82" spans="10:14">
      <c r="J82">
        <v>68</v>
      </c>
      <c r="K82">
        <v>2</v>
      </c>
      <c r="M82">
        <v>68</v>
      </c>
      <c r="N82">
        <v>1</v>
      </c>
    </row>
    <row r="83" spans="10:14">
      <c r="J83">
        <v>69</v>
      </c>
      <c r="K83">
        <v>2</v>
      </c>
      <c r="M83">
        <v>69</v>
      </c>
      <c r="N83">
        <v>1</v>
      </c>
    </row>
    <row r="84" spans="10:14">
      <c r="J84">
        <v>70</v>
      </c>
      <c r="K84">
        <v>2</v>
      </c>
      <c r="M84">
        <v>70</v>
      </c>
      <c r="N84">
        <v>1</v>
      </c>
    </row>
    <row r="85" spans="10:14">
      <c r="J85">
        <v>71</v>
      </c>
      <c r="K85">
        <v>2</v>
      </c>
      <c r="M85">
        <v>71</v>
      </c>
      <c r="N85">
        <v>1</v>
      </c>
    </row>
    <row r="86" spans="10:14">
      <c r="J86">
        <v>72</v>
      </c>
      <c r="K86">
        <v>3</v>
      </c>
      <c r="M86">
        <v>72</v>
      </c>
      <c r="N86">
        <v>1</v>
      </c>
    </row>
    <row r="87" spans="10:14">
      <c r="J87">
        <v>73</v>
      </c>
      <c r="K87">
        <v>2</v>
      </c>
      <c r="M87">
        <v>73</v>
      </c>
      <c r="N87">
        <v>1</v>
      </c>
    </row>
    <row r="88" spans="10:14">
      <c r="J88">
        <v>74</v>
      </c>
      <c r="K88">
        <v>3</v>
      </c>
      <c r="M88">
        <v>74</v>
      </c>
      <c r="N88">
        <v>1</v>
      </c>
    </row>
    <row r="89" spans="10:14">
      <c r="J89">
        <v>75</v>
      </c>
      <c r="K89">
        <v>1</v>
      </c>
      <c r="M89">
        <v>75</v>
      </c>
      <c r="N89">
        <v>1</v>
      </c>
    </row>
    <row r="90" spans="10:14">
      <c r="J90">
        <v>76</v>
      </c>
      <c r="K90">
        <v>3</v>
      </c>
      <c r="M90">
        <v>76</v>
      </c>
      <c r="N90">
        <v>1</v>
      </c>
    </row>
    <row r="91" spans="10:14">
      <c r="J91">
        <v>77</v>
      </c>
      <c r="K91">
        <v>2</v>
      </c>
      <c r="M91">
        <v>77</v>
      </c>
      <c r="N91">
        <v>1</v>
      </c>
    </row>
    <row r="92" spans="10:14">
      <c r="J92">
        <v>78</v>
      </c>
      <c r="K92">
        <v>2</v>
      </c>
      <c r="M92">
        <v>78</v>
      </c>
      <c r="N92">
        <v>1</v>
      </c>
    </row>
    <row r="93" spans="10:14">
      <c r="J93">
        <v>79</v>
      </c>
      <c r="K93">
        <v>2</v>
      </c>
      <c r="M93">
        <v>79</v>
      </c>
      <c r="N93">
        <v>1</v>
      </c>
    </row>
    <row r="94" spans="10:14">
      <c r="J94">
        <v>80</v>
      </c>
      <c r="K94">
        <v>3</v>
      </c>
      <c r="M94">
        <v>80</v>
      </c>
      <c r="N94">
        <v>1</v>
      </c>
    </row>
    <row r="95" spans="10:14">
      <c r="J95">
        <v>81</v>
      </c>
      <c r="K95">
        <v>2</v>
      </c>
      <c r="M95">
        <v>81</v>
      </c>
      <c r="N95">
        <v>1</v>
      </c>
    </row>
    <row r="96" spans="10:14">
      <c r="J96">
        <v>82</v>
      </c>
      <c r="K96">
        <v>2</v>
      </c>
      <c r="M96">
        <v>82</v>
      </c>
      <c r="N96">
        <v>1</v>
      </c>
    </row>
    <row r="97" spans="10:14">
      <c r="J97">
        <v>83</v>
      </c>
      <c r="K97">
        <v>2</v>
      </c>
      <c r="M97">
        <v>83</v>
      </c>
      <c r="N97">
        <v>1</v>
      </c>
    </row>
    <row r="98" spans="10:14">
      <c r="J98">
        <v>84</v>
      </c>
      <c r="K98">
        <v>2</v>
      </c>
      <c r="M98">
        <v>84</v>
      </c>
      <c r="N98">
        <v>1</v>
      </c>
    </row>
    <row r="99" spans="10:14">
      <c r="J99">
        <v>85</v>
      </c>
      <c r="K99">
        <v>2</v>
      </c>
      <c r="M99">
        <v>85</v>
      </c>
      <c r="N99">
        <v>1</v>
      </c>
    </row>
    <row r="100" spans="10:14">
      <c r="J100">
        <v>86</v>
      </c>
      <c r="K100">
        <v>2</v>
      </c>
      <c r="M100">
        <v>86</v>
      </c>
      <c r="N100">
        <v>1</v>
      </c>
    </row>
    <row r="101" spans="10:14">
      <c r="J101">
        <v>87</v>
      </c>
      <c r="K101">
        <v>2</v>
      </c>
      <c r="M101">
        <v>87</v>
      </c>
      <c r="N101">
        <v>1</v>
      </c>
    </row>
    <row r="102" spans="10:14">
      <c r="J102">
        <v>88</v>
      </c>
      <c r="K102">
        <v>2</v>
      </c>
      <c r="M102">
        <v>88</v>
      </c>
      <c r="N102">
        <v>1</v>
      </c>
    </row>
    <row r="103" spans="10:14">
      <c r="J103">
        <v>89</v>
      </c>
      <c r="K103">
        <v>2</v>
      </c>
      <c r="M103">
        <v>89</v>
      </c>
      <c r="N103">
        <v>1</v>
      </c>
    </row>
    <row r="104" spans="10:14">
      <c r="J104">
        <v>90</v>
      </c>
      <c r="K104">
        <v>3</v>
      </c>
      <c r="M104">
        <v>90</v>
      </c>
      <c r="N104">
        <v>1</v>
      </c>
    </row>
    <row r="105" spans="10:14">
      <c r="J105">
        <v>91</v>
      </c>
      <c r="K105">
        <v>3</v>
      </c>
      <c r="M105">
        <v>91</v>
      </c>
      <c r="N105">
        <v>1</v>
      </c>
    </row>
    <row r="106" spans="10:14">
      <c r="J106">
        <v>92</v>
      </c>
      <c r="K106">
        <v>2</v>
      </c>
      <c r="M106">
        <v>92</v>
      </c>
      <c r="N106">
        <v>1</v>
      </c>
    </row>
    <row r="107" spans="10:14">
      <c r="J107">
        <v>93</v>
      </c>
      <c r="K107">
        <v>2</v>
      </c>
      <c r="M107">
        <v>93</v>
      </c>
      <c r="N107">
        <v>1</v>
      </c>
    </row>
    <row r="108" spans="10:14">
      <c r="J108">
        <v>94</v>
      </c>
      <c r="K108">
        <v>2</v>
      </c>
      <c r="M108">
        <v>94</v>
      </c>
      <c r="N108">
        <v>1</v>
      </c>
    </row>
    <row r="109" spans="10:14">
      <c r="J109">
        <v>95</v>
      </c>
      <c r="K109">
        <v>2</v>
      </c>
      <c r="M109">
        <v>95</v>
      </c>
      <c r="N109">
        <v>1</v>
      </c>
    </row>
    <row r="110" spans="10:14">
      <c r="J110">
        <v>96</v>
      </c>
      <c r="K110">
        <v>2</v>
      </c>
      <c r="M110">
        <v>96</v>
      </c>
      <c r="N110">
        <v>1</v>
      </c>
    </row>
    <row r="111" spans="10:14">
      <c r="J111">
        <v>97</v>
      </c>
      <c r="K111">
        <v>3</v>
      </c>
      <c r="M111">
        <v>97</v>
      </c>
      <c r="N111">
        <v>1</v>
      </c>
    </row>
    <row r="112" spans="10:14">
      <c r="J112">
        <v>98</v>
      </c>
      <c r="K112">
        <v>2</v>
      </c>
      <c r="M112">
        <v>98</v>
      </c>
      <c r="N112">
        <v>1</v>
      </c>
    </row>
    <row r="113" spans="10:14">
      <c r="J113">
        <v>99</v>
      </c>
      <c r="K113">
        <v>3</v>
      </c>
      <c r="M113">
        <v>99</v>
      </c>
      <c r="N113">
        <v>1</v>
      </c>
    </row>
    <row r="114" spans="10:14">
      <c r="J114">
        <v>100</v>
      </c>
      <c r="K114">
        <v>2</v>
      </c>
      <c r="M114">
        <v>100</v>
      </c>
      <c r="N114">
        <v>1</v>
      </c>
    </row>
    <row r="115" spans="10:14">
      <c r="J115">
        <v>101</v>
      </c>
      <c r="K115">
        <v>2</v>
      </c>
      <c r="M115">
        <v>101</v>
      </c>
      <c r="N115">
        <v>1</v>
      </c>
    </row>
    <row r="116" spans="10:14">
      <c r="J116">
        <v>102</v>
      </c>
      <c r="K116">
        <v>3</v>
      </c>
      <c r="M116">
        <v>102</v>
      </c>
      <c r="N116">
        <v>1</v>
      </c>
    </row>
    <row r="117" spans="10:14">
      <c r="J117">
        <v>103</v>
      </c>
      <c r="K117">
        <v>3</v>
      </c>
      <c r="M117">
        <v>103</v>
      </c>
      <c r="N117">
        <v>1</v>
      </c>
    </row>
    <row r="118" spans="10:14">
      <c r="J118">
        <v>104</v>
      </c>
      <c r="K118">
        <v>2</v>
      </c>
      <c r="M118">
        <v>104</v>
      </c>
      <c r="N118">
        <v>1</v>
      </c>
    </row>
    <row r="119" spans="10:14">
      <c r="J119">
        <v>105</v>
      </c>
      <c r="K119">
        <v>2</v>
      </c>
      <c r="M119">
        <v>105</v>
      </c>
      <c r="N119">
        <v>1</v>
      </c>
    </row>
    <row r="120" spans="10:14">
      <c r="J120">
        <v>106</v>
      </c>
      <c r="K120">
        <v>2</v>
      </c>
      <c r="M120">
        <v>106</v>
      </c>
      <c r="N120">
        <v>1</v>
      </c>
    </row>
    <row r="121" spans="10:14">
      <c r="J121">
        <v>107</v>
      </c>
      <c r="K121">
        <v>2</v>
      </c>
      <c r="M121">
        <v>107</v>
      </c>
      <c r="N121">
        <v>1</v>
      </c>
    </row>
    <row r="122" spans="10:14">
      <c r="J122">
        <v>108</v>
      </c>
      <c r="K122">
        <v>2</v>
      </c>
      <c r="M122">
        <v>108</v>
      </c>
      <c r="N122">
        <v>1</v>
      </c>
    </row>
    <row r="123" spans="10:14">
      <c r="J123">
        <v>109</v>
      </c>
      <c r="K123">
        <v>2</v>
      </c>
      <c r="M123">
        <v>109</v>
      </c>
      <c r="N123">
        <v>1</v>
      </c>
    </row>
    <row r="124" spans="10:14">
      <c r="J124">
        <v>110</v>
      </c>
      <c r="K124">
        <v>3</v>
      </c>
      <c r="M124">
        <v>110</v>
      </c>
      <c r="N124">
        <v>1</v>
      </c>
    </row>
    <row r="125" spans="10:14">
      <c r="J125">
        <v>111</v>
      </c>
      <c r="K125">
        <v>2</v>
      </c>
      <c r="M125">
        <v>111</v>
      </c>
      <c r="N125">
        <v>1</v>
      </c>
    </row>
    <row r="126" spans="10:14">
      <c r="J126">
        <v>112</v>
      </c>
      <c r="K126">
        <v>2</v>
      </c>
      <c r="M126">
        <v>112</v>
      </c>
      <c r="N126">
        <v>1</v>
      </c>
    </row>
    <row r="127" spans="10:14">
      <c r="J127">
        <v>113</v>
      </c>
      <c r="K127">
        <v>2</v>
      </c>
      <c r="M127">
        <v>113</v>
      </c>
      <c r="N127">
        <v>1</v>
      </c>
    </row>
    <row r="128" spans="10:14">
      <c r="J128">
        <v>114</v>
      </c>
      <c r="K128">
        <v>2</v>
      </c>
      <c r="M128">
        <v>114</v>
      </c>
      <c r="N128">
        <v>1</v>
      </c>
    </row>
    <row r="129" spans="10:14">
      <c r="J129">
        <v>115</v>
      </c>
      <c r="K129">
        <v>2</v>
      </c>
      <c r="M129">
        <v>115</v>
      </c>
      <c r="N129">
        <v>1</v>
      </c>
    </row>
    <row r="130" spans="10:14">
      <c r="J130">
        <v>116</v>
      </c>
      <c r="K130">
        <v>1</v>
      </c>
      <c r="M130">
        <v>116</v>
      </c>
      <c r="N130">
        <v>1</v>
      </c>
    </row>
    <row r="131" spans="10:14">
      <c r="J131">
        <v>117</v>
      </c>
      <c r="K131">
        <v>1</v>
      </c>
      <c r="M131">
        <v>117</v>
      </c>
      <c r="N131">
        <v>1</v>
      </c>
    </row>
    <row r="132" spans="10:14">
      <c r="J132">
        <v>118</v>
      </c>
      <c r="K132">
        <v>2</v>
      </c>
      <c r="M132">
        <v>118</v>
      </c>
      <c r="N132">
        <v>1</v>
      </c>
    </row>
    <row r="133" spans="10:14">
      <c r="J133">
        <v>119</v>
      </c>
      <c r="K133">
        <v>1</v>
      </c>
      <c r="M133">
        <v>119</v>
      </c>
      <c r="N133">
        <v>1</v>
      </c>
    </row>
    <row r="134" spans="10:14">
      <c r="J134">
        <v>120</v>
      </c>
      <c r="K134">
        <v>2</v>
      </c>
      <c r="M134">
        <v>120</v>
      </c>
      <c r="N134">
        <v>1</v>
      </c>
    </row>
    <row r="135" spans="10:14">
      <c r="J135">
        <v>121</v>
      </c>
      <c r="K135">
        <v>2</v>
      </c>
      <c r="M135">
        <v>121</v>
      </c>
      <c r="N135">
        <v>1</v>
      </c>
    </row>
    <row r="136" spans="10:14">
      <c r="J136">
        <v>122</v>
      </c>
      <c r="K136">
        <v>3</v>
      </c>
      <c r="M136">
        <v>122</v>
      </c>
      <c r="N136">
        <v>1</v>
      </c>
    </row>
    <row r="137" spans="10:14">
      <c r="J137">
        <v>123</v>
      </c>
      <c r="K137">
        <v>2</v>
      </c>
      <c r="M137">
        <v>123</v>
      </c>
      <c r="N137">
        <v>1</v>
      </c>
    </row>
    <row r="138" spans="10:14">
      <c r="J138">
        <v>124</v>
      </c>
      <c r="K138">
        <v>2</v>
      </c>
      <c r="M138">
        <v>124</v>
      </c>
      <c r="N138">
        <v>1</v>
      </c>
    </row>
    <row r="139" spans="10:14">
      <c r="J139">
        <v>125</v>
      </c>
      <c r="K139">
        <v>2</v>
      </c>
      <c r="M139">
        <v>125</v>
      </c>
      <c r="N139">
        <v>1</v>
      </c>
    </row>
    <row r="140" spans="10:14">
      <c r="J140">
        <v>126</v>
      </c>
      <c r="K140">
        <v>2</v>
      </c>
      <c r="M140">
        <v>126</v>
      </c>
      <c r="N140">
        <v>1</v>
      </c>
    </row>
    <row r="141" spans="10:14">
      <c r="J141">
        <v>127</v>
      </c>
      <c r="K141">
        <v>3</v>
      </c>
      <c r="M141">
        <v>127</v>
      </c>
      <c r="N141">
        <v>1</v>
      </c>
    </row>
    <row r="142" spans="10:14">
      <c r="J142">
        <v>128</v>
      </c>
      <c r="K142">
        <v>2</v>
      </c>
      <c r="M142">
        <v>128</v>
      </c>
      <c r="N142">
        <v>1</v>
      </c>
    </row>
    <row r="143" spans="10:14">
      <c r="J143">
        <v>129</v>
      </c>
      <c r="K143">
        <v>2</v>
      </c>
      <c r="M143">
        <v>129</v>
      </c>
      <c r="N143">
        <v>1</v>
      </c>
    </row>
    <row r="144" spans="10:14">
      <c r="J144">
        <v>130</v>
      </c>
      <c r="K144">
        <v>3</v>
      </c>
      <c r="M144">
        <v>130</v>
      </c>
      <c r="N144">
        <v>1</v>
      </c>
    </row>
    <row r="145" spans="10:14">
      <c r="J145">
        <v>131</v>
      </c>
      <c r="K145">
        <v>2</v>
      </c>
      <c r="M145">
        <v>131</v>
      </c>
      <c r="N145">
        <v>1</v>
      </c>
    </row>
    <row r="146" spans="10:14">
      <c r="J146">
        <v>132</v>
      </c>
      <c r="K146">
        <v>2</v>
      </c>
      <c r="M146">
        <v>132</v>
      </c>
      <c r="N146">
        <v>1</v>
      </c>
    </row>
    <row r="147" spans="10:14">
      <c r="J147">
        <v>133</v>
      </c>
      <c r="K147">
        <v>2</v>
      </c>
      <c r="M147">
        <v>133</v>
      </c>
      <c r="N147">
        <v>1</v>
      </c>
    </row>
    <row r="148" spans="10:14">
      <c r="J148">
        <v>134</v>
      </c>
      <c r="K148">
        <v>1</v>
      </c>
      <c r="M148">
        <v>134</v>
      </c>
      <c r="N148">
        <v>1</v>
      </c>
    </row>
    <row r="149" spans="10:14">
      <c r="J149">
        <v>135</v>
      </c>
      <c r="K149">
        <v>3</v>
      </c>
      <c r="M149">
        <v>135</v>
      </c>
      <c r="N149">
        <v>1</v>
      </c>
    </row>
    <row r="150" spans="10:14">
      <c r="J150">
        <v>136</v>
      </c>
      <c r="K150">
        <v>3</v>
      </c>
      <c r="M150">
        <v>136</v>
      </c>
      <c r="N150">
        <v>1</v>
      </c>
    </row>
    <row r="151" spans="10:14">
      <c r="J151">
        <v>137</v>
      </c>
      <c r="K151">
        <v>2</v>
      </c>
      <c r="M151">
        <v>137</v>
      </c>
      <c r="N151">
        <v>1</v>
      </c>
    </row>
    <row r="152" spans="10:14">
      <c r="J152">
        <v>138</v>
      </c>
      <c r="K152">
        <v>3</v>
      </c>
      <c r="M152">
        <v>138</v>
      </c>
      <c r="N152">
        <v>1</v>
      </c>
    </row>
    <row r="153" spans="10:14">
      <c r="J153">
        <v>139</v>
      </c>
      <c r="K153">
        <v>3</v>
      </c>
      <c r="M153">
        <v>139</v>
      </c>
      <c r="N153">
        <v>1</v>
      </c>
    </row>
    <row r="154" spans="10:14">
      <c r="J154">
        <v>140</v>
      </c>
      <c r="K154">
        <v>3</v>
      </c>
      <c r="M154">
        <v>140</v>
      </c>
      <c r="N154">
        <v>1</v>
      </c>
    </row>
    <row r="155" spans="10:14">
      <c r="J155">
        <v>141</v>
      </c>
      <c r="K155">
        <v>2</v>
      </c>
      <c r="M155">
        <v>141</v>
      </c>
      <c r="N155">
        <v>1</v>
      </c>
    </row>
    <row r="156" spans="10:14">
      <c r="J156">
        <v>142</v>
      </c>
      <c r="K156">
        <v>2</v>
      </c>
      <c r="M156">
        <v>142</v>
      </c>
      <c r="N156">
        <v>1</v>
      </c>
    </row>
    <row r="157" spans="10:14">
      <c r="J157">
        <v>143</v>
      </c>
      <c r="K157">
        <v>2</v>
      </c>
      <c r="M157">
        <v>143</v>
      </c>
      <c r="N157">
        <v>1</v>
      </c>
    </row>
    <row r="158" spans="10:14">
      <c r="J158">
        <v>144</v>
      </c>
      <c r="K158">
        <v>2</v>
      </c>
      <c r="M158">
        <v>144</v>
      </c>
      <c r="N158">
        <v>1</v>
      </c>
    </row>
    <row r="159" spans="10:14">
      <c r="J159">
        <v>145</v>
      </c>
      <c r="K159">
        <v>3</v>
      </c>
      <c r="M159">
        <v>145</v>
      </c>
      <c r="N159">
        <v>1</v>
      </c>
    </row>
    <row r="160" spans="10:14">
      <c r="J160">
        <v>146</v>
      </c>
      <c r="K160">
        <v>2</v>
      </c>
      <c r="M160">
        <v>146</v>
      </c>
      <c r="N160">
        <v>1</v>
      </c>
    </row>
    <row r="161" spans="10:14">
      <c r="J161">
        <v>147</v>
      </c>
      <c r="K161">
        <v>2</v>
      </c>
      <c r="M161">
        <v>147</v>
      </c>
      <c r="N161">
        <v>1</v>
      </c>
    </row>
    <row r="162" spans="10:14">
      <c r="J162">
        <v>148</v>
      </c>
      <c r="K162">
        <v>2</v>
      </c>
      <c r="M162">
        <v>148</v>
      </c>
      <c r="N162">
        <v>1</v>
      </c>
    </row>
    <row r="163" spans="10:14">
      <c r="J163">
        <v>149</v>
      </c>
      <c r="K163">
        <v>2</v>
      </c>
      <c r="M163">
        <v>149</v>
      </c>
      <c r="N163">
        <v>1</v>
      </c>
    </row>
    <row r="164" spans="10:14">
      <c r="J164">
        <v>150</v>
      </c>
      <c r="K164">
        <v>2</v>
      </c>
      <c r="M164">
        <v>150</v>
      </c>
      <c r="N164">
        <v>1</v>
      </c>
    </row>
    <row r="165" spans="10:14">
      <c r="J165">
        <v>151</v>
      </c>
      <c r="K165">
        <v>3</v>
      </c>
      <c r="M165">
        <v>151</v>
      </c>
      <c r="N165">
        <v>1</v>
      </c>
    </row>
    <row r="166" spans="10:14">
      <c r="J166">
        <v>152</v>
      </c>
      <c r="K166">
        <v>3</v>
      </c>
      <c r="M166">
        <v>152</v>
      </c>
      <c r="N166">
        <v>1</v>
      </c>
    </row>
    <row r="167" spans="10:14">
      <c r="J167">
        <v>153</v>
      </c>
      <c r="K167">
        <v>1</v>
      </c>
      <c r="M167">
        <v>153</v>
      </c>
      <c r="N167">
        <v>1</v>
      </c>
    </row>
    <row r="168" spans="10:14">
      <c r="J168">
        <v>154</v>
      </c>
      <c r="K168">
        <v>2</v>
      </c>
      <c r="M168">
        <v>154</v>
      </c>
      <c r="N168">
        <v>1</v>
      </c>
    </row>
    <row r="169" spans="10:14">
      <c r="J169">
        <v>155</v>
      </c>
      <c r="K169">
        <v>2</v>
      </c>
      <c r="M169">
        <v>155</v>
      </c>
      <c r="N169">
        <v>1</v>
      </c>
    </row>
    <row r="170" spans="10:14">
      <c r="J170">
        <v>156</v>
      </c>
      <c r="K170">
        <v>2</v>
      </c>
      <c r="M170">
        <v>156</v>
      </c>
      <c r="N170">
        <v>1</v>
      </c>
    </row>
    <row r="171" spans="10:14">
      <c r="J171">
        <v>157</v>
      </c>
      <c r="K171">
        <v>2</v>
      </c>
      <c r="M171">
        <v>157</v>
      </c>
      <c r="N171">
        <v>1</v>
      </c>
    </row>
    <row r="172" spans="10:14">
      <c r="J172">
        <v>158</v>
      </c>
      <c r="K172">
        <v>3</v>
      </c>
      <c r="M172">
        <v>158</v>
      </c>
      <c r="N172">
        <v>1</v>
      </c>
    </row>
    <row r="173" spans="10:14">
      <c r="J173">
        <v>159</v>
      </c>
      <c r="K173">
        <v>2</v>
      </c>
      <c r="M173">
        <v>159</v>
      </c>
      <c r="N173">
        <v>1</v>
      </c>
    </row>
    <row r="174" spans="10:14">
      <c r="J174">
        <v>160</v>
      </c>
      <c r="K174">
        <v>2</v>
      </c>
      <c r="M174">
        <v>160</v>
      </c>
      <c r="N174">
        <v>1</v>
      </c>
    </row>
    <row r="175" spans="10:14">
      <c r="J175">
        <v>161</v>
      </c>
      <c r="K175">
        <v>2</v>
      </c>
      <c r="M175">
        <v>161</v>
      </c>
      <c r="N175">
        <v>2</v>
      </c>
    </row>
    <row r="176" spans="10:14">
      <c r="J176">
        <v>162</v>
      </c>
      <c r="K176">
        <v>2</v>
      </c>
      <c r="M176">
        <v>162</v>
      </c>
      <c r="N176">
        <v>2</v>
      </c>
    </row>
    <row r="177" spans="10:14">
      <c r="J177">
        <v>163</v>
      </c>
      <c r="K177">
        <v>2</v>
      </c>
      <c r="M177">
        <v>163</v>
      </c>
      <c r="N177">
        <v>2</v>
      </c>
    </row>
    <row r="178" spans="10:14">
      <c r="J178">
        <v>164</v>
      </c>
      <c r="K178">
        <v>2</v>
      </c>
      <c r="M178">
        <v>164</v>
      </c>
      <c r="N178">
        <v>2</v>
      </c>
    </row>
    <row r="179" spans="10:14">
      <c r="J179">
        <v>165</v>
      </c>
      <c r="K179">
        <v>2</v>
      </c>
      <c r="M179">
        <v>165</v>
      </c>
      <c r="N179">
        <v>2</v>
      </c>
    </row>
    <row r="180" spans="10:14">
      <c r="J180">
        <v>166</v>
      </c>
      <c r="K180">
        <v>2</v>
      </c>
      <c r="M180">
        <v>166</v>
      </c>
      <c r="N180">
        <v>2</v>
      </c>
    </row>
    <row r="181" spans="10:14">
      <c r="J181">
        <v>167</v>
      </c>
      <c r="K181">
        <v>2</v>
      </c>
      <c r="M181">
        <v>167</v>
      </c>
      <c r="N181">
        <v>2</v>
      </c>
    </row>
    <row r="182" spans="10:14">
      <c r="J182">
        <v>168</v>
      </c>
      <c r="K182">
        <v>2</v>
      </c>
      <c r="M182">
        <v>168</v>
      </c>
      <c r="N182">
        <v>2</v>
      </c>
    </row>
    <row r="183" spans="10:14">
      <c r="J183">
        <v>169</v>
      </c>
      <c r="K183">
        <v>3</v>
      </c>
      <c r="M183">
        <v>169</v>
      </c>
      <c r="N183">
        <v>2</v>
      </c>
    </row>
    <row r="184" spans="10:14">
      <c r="J184">
        <v>170</v>
      </c>
      <c r="K184">
        <v>2</v>
      </c>
      <c r="M184">
        <v>170</v>
      </c>
      <c r="N184">
        <v>2</v>
      </c>
    </row>
    <row r="185" spans="10:14">
      <c r="J185">
        <v>171</v>
      </c>
      <c r="K185">
        <v>2</v>
      </c>
      <c r="M185">
        <v>171</v>
      </c>
      <c r="N185">
        <v>2</v>
      </c>
    </row>
    <row r="186" spans="10:14">
      <c r="J186">
        <v>172</v>
      </c>
      <c r="K186">
        <v>2</v>
      </c>
      <c r="M186">
        <v>172</v>
      </c>
      <c r="N186">
        <v>2</v>
      </c>
    </row>
    <row r="187" spans="10:14">
      <c r="J187">
        <v>173</v>
      </c>
      <c r="K187">
        <v>3</v>
      </c>
      <c r="M187">
        <v>173</v>
      </c>
      <c r="N187">
        <v>2</v>
      </c>
    </row>
    <row r="188" spans="10:14">
      <c r="J188">
        <v>174</v>
      </c>
      <c r="K188">
        <v>3</v>
      </c>
      <c r="M188">
        <v>174</v>
      </c>
      <c r="N188">
        <v>2</v>
      </c>
    </row>
    <row r="189" spans="10:14">
      <c r="J189">
        <v>175</v>
      </c>
      <c r="K189">
        <v>2</v>
      </c>
      <c r="M189">
        <v>175</v>
      </c>
      <c r="N189">
        <v>2</v>
      </c>
    </row>
    <row r="190" spans="10:14">
      <c r="J190">
        <v>176</v>
      </c>
      <c r="K190">
        <v>2</v>
      </c>
      <c r="M190">
        <v>176</v>
      </c>
      <c r="N190">
        <v>2</v>
      </c>
    </row>
    <row r="191" spans="10:14">
      <c r="J191">
        <v>177</v>
      </c>
      <c r="K191">
        <v>3</v>
      </c>
      <c r="M191">
        <v>177</v>
      </c>
      <c r="N191">
        <v>2</v>
      </c>
    </row>
    <row r="192" spans="10:14">
      <c r="J192">
        <v>178</v>
      </c>
      <c r="K192">
        <v>2</v>
      </c>
      <c r="M192">
        <v>178</v>
      </c>
      <c r="N192">
        <v>2</v>
      </c>
    </row>
    <row r="193" spans="10:14">
      <c r="J193">
        <v>179</v>
      </c>
      <c r="K193">
        <v>2</v>
      </c>
      <c r="M193">
        <v>179</v>
      </c>
      <c r="N193">
        <v>2</v>
      </c>
    </row>
    <row r="194" spans="10:14">
      <c r="J194">
        <v>180</v>
      </c>
      <c r="K194">
        <v>2</v>
      </c>
      <c r="M194">
        <v>180</v>
      </c>
      <c r="N194">
        <v>2</v>
      </c>
    </row>
    <row r="195" spans="10:14">
      <c r="J195">
        <v>181</v>
      </c>
      <c r="K195">
        <v>2</v>
      </c>
      <c r="M195">
        <v>181</v>
      </c>
      <c r="N195">
        <v>2</v>
      </c>
    </row>
    <row r="196" spans="10:14">
      <c r="J196">
        <v>182</v>
      </c>
      <c r="K196">
        <v>2</v>
      </c>
      <c r="M196">
        <v>182</v>
      </c>
      <c r="N196">
        <v>2</v>
      </c>
    </row>
    <row r="197" spans="10:14">
      <c r="J197">
        <v>183</v>
      </c>
      <c r="K197">
        <v>2</v>
      </c>
      <c r="M197">
        <v>183</v>
      </c>
      <c r="N197">
        <v>2</v>
      </c>
    </row>
    <row r="198" spans="10:14">
      <c r="J198">
        <v>184</v>
      </c>
      <c r="K198">
        <v>2</v>
      </c>
      <c r="M198">
        <v>184</v>
      </c>
      <c r="N198">
        <v>2</v>
      </c>
    </row>
    <row r="199" spans="10:14">
      <c r="J199">
        <v>185</v>
      </c>
      <c r="K199">
        <v>2</v>
      </c>
      <c r="M199">
        <v>185</v>
      </c>
      <c r="N199">
        <v>2</v>
      </c>
    </row>
    <row r="200" spans="10:14">
      <c r="J200">
        <v>186</v>
      </c>
      <c r="K200">
        <v>2</v>
      </c>
      <c r="M200">
        <v>186</v>
      </c>
      <c r="N200">
        <v>2</v>
      </c>
    </row>
    <row r="201" spans="10:14">
      <c r="J201">
        <v>187</v>
      </c>
      <c r="K201">
        <v>2</v>
      </c>
      <c r="M201">
        <v>187</v>
      </c>
      <c r="N201">
        <v>2</v>
      </c>
    </row>
    <row r="202" spans="10:14">
      <c r="J202">
        <v>188</v>
      </c>
      <c r="K202">
        <v>2</v>
      </c>
      <c r="M202">
        <v>188</v>
      </c>
      <c r="N202">
        <v>2</v>
      </c>
    </row>
    <row r="203" spans="10:14">
      <c r="J203">
        <v>189</v>
      </c>
      <c r="K203">
        <v>2</v>
      </c>
      <c r="M203">
        <v>189</v>
      </c>
      <c r="N203">
        <v>2</v>
      </c>
    </row>
    <row r="204" spans="10:14">
      <c r="J204">
        <v>190</v>
      </c>
      <c r="K204">
        <v>2</v>
      </c>
      <c r="M204">
        <v>190</v>
      </c>
      <c r="N204">
        <v>2</v>
      </c>
    </row>
    <row r="205" spans="10:14">
      <c r="J205">
        <v>191</v>
      </c>
      <c r="K205">
        <v>2</v>
      </c>
      <c r="M205">
        <v>191</v>
      </c>
      <c r="N205">
        <v>2</v>
      </c>
    </row>
    <row r="206" spans="10:14">
      <c r="J206">
        <v>192</v>
      </c>
      <c r="K206">
        <v>3</v>
      </c>
      <c r="M206">
        <v>192</v>
      </c>
      <c r="N206">
        <v>2</v>
      </c>
    </row>
    <row r="207" spans="10:14">
      <c r="J207">
        <v>193</v>
      </c>
      <c r="K207">
        <v>2</v>
      </c>
      <c r="M207">
        <v>193</v>
      </c>
      <c r="N207">
        <v>2</v>
      </c>
    </row>
    <row r="208" spans="10:14">
      <c r="J208">
        <v>194</v>
      </c>
      <c r="K208">
        <v>0</v>
      </c>
      <c r="M208">
        <v>194</v>
      </c>
      <c r="N208">
        <v>2</v>
      </c>
    </row>
    <row r="209" spans="10:14">
      <c r="J209">
        <v>195</v>
      </c>
      <c r="K209">
        <v>2</v>
      </c>
      <c r="M209">
        <v>195</v>
      </c>
      <c r="N209">
        <v>2</v>
      </c>
    </row>
    <row r="210" spans="10:14">
      <c r="J210">
        <v>196</v>
      </c>
      <c r="K210">
        <v>3</v>
      </c>
      <c r="M210">
        <v>196</v>
      </c>
      <c r="N210">
        <v>2</v>
      </c>
    </row>
    <row r="211" spans="10:14">
      <c r="J211">
        <v>197</v>
      </c>
      <c r="K211">
        <v>0</v>
      </c>
      <c r="M211">
        <v>197</v>
      </c>
      <c r="N211">
        <v>2</v>
      </c>
    </row>
    <row r="212" spans="10:14">
      <c r="J212">
        <v>198</v>
      </c>
      <c r="K212">
        <v>2</v>
      </c>
      <c r="M212">
        <v>198</v>
      </c>
      <c r="N212">
        <v>2</v>
      </c>
    </row>
    <row r="213" spans="10:14">
      <c r="J213">
        <v>199</v>
      </c>
      <c r="K213">
        <v>2</v>
      </c>
      <c r="M213">
        <v>199</v>
      </c>
      <c r="N213">
        <v>2</v>
      </c>
    </row>
    <row r="214" spans="10:14">
      <c r="J214">
        <v>200</v>
      </c>
      <c r="K214">
        <v>2</v>
      </c>
      <c r="M214">
        <v>200</v>
      </c>
      <c r="N214">
        <v>2</v>
      </c>
    </row>
    <row r="215" spans="10:14">
      <c r="J215">
        <v>201</v>
      </c>
      <c r="K215">
        <v>2</v>
      </c>
      <c r="M215">
        <v>201</v>
      </c>
      <c r="N215">
        <v>2</v>
      </c>
    </row>
    <row r="216" spans="10:14">
      <c r="J216">
        <v>202</v>
      </c>
      <c r="K216">
        <v>3</v>
      </c>
      <c r="M216">
        <v>202</v>
      </c>
      <c r="N216">
        <v>2</v>
      </c>
    </row>
    <row r="217" spans="10:14">
      <c r="J217">
        <v>203</v>
      </c>
      <c r="K217">
        <v>2</v>
      </c>
      <c r="M217">
        <v>203</v>
      </c>
      <c r="N217">
        <v>2</v>
      </c>
    </row>
    <row r="218" spans="10:14">
      <c r="J218">
        <v>204</v>
      </c>
      <c r="K218">
        <v>2</v>
      </c>
      <c r="M218">
        <v>204</v>
      </c>
      <c r="N218">
        <v>2</v>
      </c>
    </row>
    <row r="219" spans="10:14">
      <c r="J219">
        <v>205</v>
      </c>
      <c r="K219">
        <v>2</v>
      </c>
      <c r="M219">
        <v>205</v>
      </c>
      <c r="N219">
        <v>2</v>
      </c>
    </row>
    <row r="220" spans="10:14">
      <c r="J220">
        <v>206</v>
      </c>
      <c r="K220">
        <v>2</v>
      </c>
      <c r="M220">
        <v>206</v>
      </c>
      <c r="N220">
        <v>2</v>
      </c>
    </row>
    <row r="221" spans="10:14">
      <c r="J221">
        <v>207</v>
      </c>
      <c r="K221">
        <v>2</v>
      </c>
      <c r="M221">
        <v>207</v>
      </c>
      <c r="N221">
        <v>2</v>
      </c>
    </row>
    <row r="222" spans="10:14">
      <c r="J222">
        <v>208</v>
      </c>
      <c r="K222">
        <v>2</v>
      </c>
      <c r="M222">
        <v>208</v>
      </c>
      <c r="N222">
        <v>2</v>
      </c>
    </row>
    <row r="223" spans="10:14">
      <c r="J223">
        <v>209</v>
      </c>
      <c r="K223">
        <v>3</v>
      </c>
      <c r="M223">
        <v>209</v>
      </c>
      <c r="N223">
        <v>2</v>
      </c>
    </row>
    <row r="224" spans="10:14">
      <c r="J224">
        <v>210</v>
      </c>
      <c r="K224">
        <v>2</v>
      </c>
      <c r="M224">
        <v>210</v>
      </c>
      <c r="N224">
        <v>2</v>
      </c>
    </row>
    <row r="225" spans="10:14">
      <c r="J225">
        <v>211</v>
      </c>
      <c r="K225">
        <v>3</v>
      </c>
      <c r="M225">
        <v>211</v>
      </c>
      <c r="N225">
        <v>2</v>
      </c>
    </row>
    <row r="226" spans="10:14">
      <c r="J226">
        <v>212</v>
      </c>
      <c r="K226">
        <v>0</v>
      </c>
      <c r="M226">
        <v>212</v>
      </c>
      <c r="N226">
        <v>2</v>
      </c>
    </row>
    <row r="227" spans="10:14">
      <c r="J227">
        <v>213</v>
      </c>
      <c r="K227">
        <v>0</v>
      </c>
      <c r="M227">
        <v>213</v>
      </c>
      <c r="N227">
        <v>2</v>
      </c>
    </row>
    <row r="228" spans="10:14">
      <c r="J228">
        <v>214</v>
      </c>
      <c r="K228">
        <v>1</v>
      </c>
      <c r="M228">
        <v>214</v>
      </c>
      <c r="N228">
        <v>2</v>
      </c>
    </row>
    <row r="229" spans="10:14">
      <c r="J229">
        <v>215</v>
      </c>
      <c r="K229">
        <v>2</v>
      </c>
      <c r="M229">
        <v>215</v>
      </c>
      <c r="N229">
        <v>2</v>
      </c>
    </row>
    <row r="230" spans="10:14">
      <c r="J230">
        <v>216</v>
      </c>
      <c r="K230">
        <v>2</v>
      </c>
      <c r="M230">
        <v>216</v>
      </c>
      <c r="N230">
        <v>2</v>
      </c>
    </row>
    <row r="231" spans="10:14">
      <c r="J231">
        <v>217</v>
      </c>
      <c r="K231">
        <v>2</v>
      </c>
      <c r="M231">
        <v>217</v>
      </c>
      <c r="N231">
        <v>2</v>
      </c>
    </row>
    <row r="232" spans="10:14">
      <c r="J232">
        <v>218</v>
      </c>
      <c r="K232">
        <v>2</v>
      </c>
      <c r="M232">
        <v>218</v>
      </c>
      <c r="N232">
        <v>2</v>
      </c>
    </row>
    <row r="233" spans="10:14">
      <c r="J233">
        <v>219</v>
      </c>
      <c r="K233">
        <v>2</v>
      </c>
      <c r="M233">
        <v>219</v>
      </c>
      <c r="N233">
        <v>2</v>
      </c>
    </row>
    <row r="234" spans="10:14">
      <c r="J234">
        <v>220</v>
      </c>
      <c r="K234">
        <v>2</v>
      </c>
      <c r="M234">
        <v>220</v>
      </c>
      <c r="N234">
        <v>2</v>
      </c>
    </row>
    <row r="235" spans="10:14">
      <c r="J235">
        <v>221</v>
      </c>
      <c r="K235">
        <v>2</v>
      </c>
      <c r="M235">
        <v>221</v>
      </c>
      <c r="N235">
        <v>2</v>
      </c>
    </row>
    <row r="236" spans="10:14">
      <c r="J236">
        <v>222</v>
      </c>
      <c r="K236">
        <v>2</v>
      </c>
      <c r="M236">
        <v>222</v>
      </c>
      <c r="N236">
        <v>2</v>
      </c>
    </row>
    <row r="237" spans="10:14">
      <c r="J237">
        <v>223</v>
      </c>
      <c r="K237">
        <v>2</v>
      </c>
      <c r="M237">
        <v>223</v>
      </c>
      <c r="N237">
        <v>2</v>
      </c>
    </row>
    <row r="238" spans="10:14">
      <c r="J238">
        <v>224</v>
      </c>
      <c r="K238">
        <v>3</v>
      </c>
      <c r="M238">
        <v>224</v>
      </c>
      <c r="N238">
        <v>2</v>
      </c>
    </row>
    <row r="239" spans="10:14">
      <c r="J239">
        <v>225</v>
      </c>
      <c r="K239">
        <v>2</v>
      </c>
      <c r="M239">
        <v>225</v>
      </c>
      <c r="N239">
        <v>2</v>
      </c>
    </row>
    <row r="240" spans="10:14">
      <c r="J240">
        <v>226</v>
      </c>
      <c r="K240">
        <v>3</v>
      </c>
      <c r="M240">
        <v>226</v>
      </c>
      <c r="N240">
        <v>2</v>
      </c>
    </row>
    <row r="241" spans="10:14">
      <c r="J241">
        <v>227</v>
      </c>
      <c r="K241">
        <v>2</v>
      </c>
      <c r="M241">
        <v>227</v>
      </c>
      <c r="N241">
        <v>2</v>
      </c>
    </row>
    <row r="242" spans="10:14">
      <c r="J242">
        <v>228</v>
      </c>
      <c r="K242">
        <v>2</v>
      </c>
      <c r="M242">
        <v>228</v>
      </c>
      <c r="N242">
        <v>2</v>
      </c>
    </row>
    <row r="243" spans="10:14">
      <c r="J243">
        <v>229</v>
      </c>
      <c r="K243">
        <v>2</v>
      </c>
      <c r="M243">
        <v>229</v>
      </c>
      <c r="N243">
        <v>2</v>
      </c>
    </row>
    <row r="244" spans="10:14">
      <c r="J244">
        <v>230</v>
      </c>
      <c r="K244">
        <v>3</v>
      </c>
      <c r="M244">
        <v>230</v>
      </c>
      <c r="N244">
        <v>2</v>
      </c>
    </row>
    <row r="245" spans="10:14">
      <c r="J245">
        <v>231</v>
      </c>
      <c r="K245">
        <v>0</v>
      </c>
      <c r="M245">
        <v>231</v>
      </c>
      <c r="N245">
        <v>2</v>
      </c>
    </row>
    <row r="246" spans="10:14">
      <c r="J246">
        <v>232</v>
      </c>
      <c r="K246">
        <v>2</v>
      </c>
      <c r="M246">
        <v>232</v>
      </c>
      <c r="N246">
        <v>2</v>
      </c>
    </row>
    <row r="247" spans="10:14">
      <c r="J247">
        <v>233</v>
      </c>
      <c r="K247">
        <v>3</v>
      </c>
      <c r="M247">
        <v>233</v>
      </c>
      <c r="N247">
        <v>2</v>
      </c>
    </row>
    <row r="248" spans="10:14">
      <c r="J248">
        <v>234</v>
      </c>
      <c r="K248">
        <v>2</v>
      </c>
      <c r="M248">
        <v>234</v>
      </c>
      <c r="N248">
        <v>2</v>
      </c>
    </row>
    <row r="249" spans="10:14">
      <c r="J249">
        <v>235</v>
      </c>
      <c r="K249">
        <v>2</v>
      </c>
      <c r="M249">
        <v>235</v>
      </c>
      <c r="N249">
        <v>2</v>
      </c>
    </row>
    <row r="250" spans="10:14">
      <c r="J250">
        <v>236</v>
      </c>
      <c r="K250">
        <v>2</v>
      </c>
      <c r="M250">
        <v>236</v>
      </c>
      <c r="N250">
        <v>2</v>
      </c>
    </row>
    <row r="251" spans="10:14">
      <c r="J251">
        <v>237</v>
      </c>
      <c r="K251">
        <v>3</v>
      </c>
      <c r="M251">
        <v>237</v>
      </c>
      <c r="N251">
        <v>2</v>
      </c>
    </row>
    <row r="252" spans="10:14">
      <c r="J252">
        <v>238</v>
      </c>
      <c r="K252">
        <v>2</v>
      </c>
      <c r="M252">
        <v>238</v>
      </c>
      <c r="N252">
        <v>2</v>
      </c>
    </row>
    <row r="253" spans="10:14">
      <c r="J253">
        <v>239</v>
      </c>
      <c r="K253">
        <v>2</v>
      </c>
      <c r="M253">
        <v>239</v>
      </c>
      <c r="N253">
        <v>2</v>
      </c>
    </row>
    <row r="254" spans="10:14">
      <c r="J254">
        <v>240</v>
      </c>
      <c r="K254">
        <v>2</v>
      </c>
      <c r="M254">
        <v>240</v>
      </c>
      <c r="N254">
        <v>2</v>
      </c>
    </row>
    <row r="255" spans="10:14">
      <c r="J255">
        <v>241</v>
      </c>
      <c r="K255">
        <v>2</v>
      </c>
      <c r="M255">
        <v>241</v>
      </c>
      <c r="N255">
        <v>2</v>
      </c>
    </row>
    <row r="256" spans="10:14">
      <c r="J256">
        <v>242</v>
      </c>
      <c r="K256">
        <v>2</v>
      </c>
      <c r="M256">
        <v>242</v>
      </c>
      <c r="N256">
        <v>2</v>
      </c>
    </row>
    <row r="257" spans="10:14">
      <c r="J257">
        <v>243</v>
      </c>
      <c r="K257">
        <v>2</v>
      </c>
      <c r="M257">
        <v>243</v>
      </c>
      <c r="N257">
        <v>2</v>
      </c>
    </row>
    <row r="258" spans="10:14">
      <c r="J258">
        <v>244</v>
      </c>
      <c r="K258">
        <v>2</v>
      </c>
      <c r="M258">
        <v>244</v>
      </c>
      <c r="N258">
        <v>2</v>
      </c>
    </row>
    <row r="259" spans="10:14">
      <c r="J259">
        <v>245</v>
      </c>
      <c r="K259">
        <v>2</v>
      </c>
      <c r="M259">
        <v>245</v>
      </c>
      <c r="N259">
        <v>2</v>
      </c>
    </row>
    <row r="260" spans="10:14">
      <c r="J260">
        <v>246</v>
      </c>
      <c r="K260">
        <v>2</v>
      </c>
      <c r="M260">
        <v>246</v>
      </c>
      <c r="N260">
        <v>3</v>
      </c>
    </row>
    <row r="261" spans="10:14">
      <c r="J261">
        <v>247</v>
      </c>
      <c r="K261">
        <v>2</v>
      </c>
      <c r="M261">
        <v>247</v>
      </c>
      <c r="N261">
        <v>3</v>
      </c>
    </row>
    <row r="262" spans="10:14">
      <c r="J262">
        <v>248</v>
      </c>
      <c r="K262">
        <v>2</v>
      </c>
      <c r="M262">
        <v>248</v>
      </c>
      <c r="N262">
        <v>3</v>
      </c>
    </row>
    <row r="263" spans="10:14">
      <c r="J263">
        <v>249</v>
      </c>
      <c r="K263">
        <v>2</v>
      </c>
      <c r="M263">
        <v>249</v>
      </c>
      <c r="N263">
        <v>3</v>
      </c>
    </row>
    <row r="264" spans="10:14">
      <c r="J264">
        <v>250</v>
      </c>
      <c r="K264">
        <v>2</v>
      </c>
      <c r="M264">
        <v>250</v>
      </c>
      <c r="N264">
        <v>3</v>
      </c>
    </row>
    <row r="265" spans="10:14">
      <c r="J265">
        <v>251</v>
      </c>
      <c r="K265">
        <v>2</v>
      </c>
      <c r="M265">
        <v>251</v>
      </c>
      <c r="N265">
        <v>3</v>
      </c>
    </row>
    <row r="266" spans="10:14">
      <c r="J266">
        <v>252</v>
      </c>
      <c r="K266">
        <v>2</v>
      </c>
      <c r="M266">
        <v>252</v>
      </c>
      <c r="N266">
        <v>3</v>
      </c>
    </row>
    <row r="267" spans="10:14">
      <c r="J267">
        <v>253</v>
      </c>
      <c r="K267">
        <v>2</v>
      </c>
      <c r="M267">
        <v>253</v>
      </c>
      <c r="N267">
        <v>3</v>
      </c>
    </row>
    <row r="268" spans="10:14">
      <c r="J268">
        <v>254</v>
      </c>
      <c r="K268">
        <v>3</v>
      </c>
      <c r="M268">
        <v>254</v>
      </c>
      <c r="N268">
        <v>3</v>
      </c>
    </row>
    <row r="269" spans="10:14">
      <c r="J269">
        <v>255</v>
      </c>
      <c r="K269">
        <v>2</v>
      </c>
      <c r="M269">
        <v>255</v>
      </c>
      <c r="N269">
        <v>3</v>
      </c>
    </row>
    <row r="270" spans="10:14">
      <c r="J270">
        <v>256</v>
      </c>
      <c r="K270">
        <v>2</v>
      </c>
      <c r="M270">
        <v>256</v>
      </c>
      <c r="N270">
        <v>3</v>
      </c>
    </row>
    <row r="271" spans="10:14">
      <c r="J271">
        <v>257</v>
      </c>
      <c r="K271">
        <v>2</v>
      </c>
      <c r="M271">
        <v>257</v>
      </c>
      <c r="N271">
        <v>3</v>
      </c>
    </row>
    <row r="272" spans="10:14">
      <c r="J272">
        <v>258</v>
      </c>
      <c r="K272">
        <v>3</v>
      </c>
      <c r="M272">
        <v>258</v>
      </c>
      <c r="N272">
        <v>3</v>
      </c>
    </row>
    <row r="273" spans="10:14">
      <c r="J273">
        <v>259</v>
      </c>
      <c r="K273">
        <v>1</v>
      </c>
      <c r="M273">
        <v>259</v>
      </c>
      <c r="N273">
        <v>3</v>
      </c>
    </row>
    <row r="274" spans="10:14">
      <c r="J274">
        <v>260</v>
      </c>
      <c r="K274">
        <v>2</v>
      </c>
      <c r="M274">
        <v>260</v>
      </c>
      <c r="N274">
        <v>3</v>
      </c>
    </row>
    <row r="275" spans="10:14">
      <c r="J275">
        <v>261</v>
      </c>
      <c r="K275">
        <v>2</v>
      </c>
      <c r="M275">
        <v>261</v>
      </c>
      <c r="N275">
        <v>3</v>
      </c>
    </row>
    <row r="276" spans="10:14">
      <c r="J276">
        <v>262</v>
      </c>
      <c r="K276">
        <v>2</v>
      </c>
      <c r="M276">
        <v>262</v>
      </c>
      <c r="N276">
        <v>3</v>
      </c>
    </row>
    <row r="277" spans="10:14">
      <c r="J277">
        <v>263</v>
      </c>
      <c r="K277">
        <v>1</v>
      </c>
      <c r="M277">
        <v>263</v>
      </c>
      <c r="N277">
        <v>3</v>
      </c>
    </row>
    <row r="278" spans="10:14">
      <c r="J278">
        <v>264</v>
      </c>
      <c r="K278">
        <v>3</v>
      </c>
      <c r="M278">
        <v>264</v>
      </c>
      <c r="N278">
        <v>3</v>
      </c>
    </row>
    <row r="279" spans="10:14">
      <c r="J279">
        <v>265</v>
      </c>
      <c r="K279">
        <v>2</v>
      </c>
      <c r="M279">
        <v>265</v>
      </c>
      <c r="N279">
        <v>3</v>
      </c>
    </row>
    <row r="280" spans="10:14">
      <c r="J280">
        <v>266</v>
      </c>
      <c r="K280">
        <v>1</v>
      </c>
      <c r="M280">
        <v>266</v>
      </c>
      <c r="N280">
        <v>3</v>
      </c>
    </row>
    <row r="281" spans="10:14">
      <c r="J281">
        <v>267</v>
      </c>
      <c r="K281">
        <v>2</v>
      </c>
      <c r="M281">
        <v>267</v>
      </c>
      <c r="N281">
        <v>3</v>
      </c>
    </row>
    <row r="282" spans="10:14">
      <c r="J282">
        <v>268</v>
      </c>
      <c r="K282">
        <v>2</v>
      </c>
      <c r="M282">
        <v>268</v>
      </c>
      <c r="N282">
        <v>3</v>
      </c>
    </row>
    <row r="283" spans="10:14">
      <c r="J283">
        <v>269</v>
      </c>
      <c r="K283">
        <v>3</v>
      </c>
      <c r="M283">
        <v>269</v>
      </c>
      <c r="N283">
        <v>3</v>
      </c>
    </row>
    <row r="284" spans="10:14">
      <c r="J284">
        <v>270</v>
      </c>
      <c r="K284">
        <v>2</v>
      </c>
      <c r="M284">
        <v>270</v>
      </c>
      <c r="N284">
        <v>3</v>
      </c>
    </row>
    <row r="285" spans="10:14">
      <c r="J285">
        <v>271</v>
      </c>
      <c r="K285">
        <v>2</v>
      </c>
      <c r="M285">
        <v>271</v>
      </c>
      <c r="N285">
        <v>3</v>
      </c>
    </row>
    <row r="286" spans="10:14">
      <c r="J286">
        <v>272</v>
      </c>
      <c r="K286">
        <v>2</v>
      </c>
      <c r="M286">
        <v>272</v>
      </c>
      <c r="N286">
        <v>3</v>
      </c>
    </row>
    <row r="287" spans="10:14">
      <c r="J287">
        <v>273</v>
      </c>
      <c r="K287">
        <v>2</v>
      </c>
      <c r="M287">
        <v>273</v>
      </c>
      <c r="N287">
        <v>3</v>
      </c>
    </row>
    <row r="288" spans="10:14">
      <c r="J288">
        <v>274</v>
      </c>
      <c r="K288">
        <v>2</v>
      </c>
      <c r="M288">
        <v>274</v>
      </c>
      <c r="N288">
        <v>3</v>
      </c>
    </row>
    <row r="289" spans="10:14">
      <c r="J289">
        <v>275</v>
      </c>
      <c r="K289">
        <v>1</v>
      </c>
      <c r="M289">
        <v>275</v>
      </c>
      <c r="N289">
        <v>3</v>
      </c>
    </row>
    <row r="290" spans="10:14">
      <c r="J290">
        <v>276</v>
      </c>
      <c r="K290">
        <v>2</v>
      </c>
      <c r="M290">
        <v>276</v>
      </c>
      <c r="N290">
        <v>3</v>
      </c>
    </row>
    <row r="291" spans="10:14">
      <c r="J291">
        <v>277</v>
      </c>
      <c r="K291">
        <v>2</v>
      </c>
      <c r="M291">
        <v>277</v>
      </c>
      <c r="N291">
        <v>3</v>
      </c>
    </row>
    <row r="292" spans="10:14">
      <c r="J292">
        <v>278</v>
      </c>
      <c r="K292">
        <v>2</v>
      </c>
      <c r="M292">
        <v>278</v>
      </c>
      <c r="N292">
        <v>3</v>
      </c>
    </row>
    <row r="293" spans="10:14">
      <c r="J293">
        <v>279</v>
      </c>
      <c r="K293">
        <v>2</v>
      </c>
      <c r="M293">
        <v>279</v>
      </c>
      <c r="N293">
        <v>3</v>
      </c>
    </row>
    <row r="294" spans="10:14">
      <c r="J294">
        <v>280</v>
      </c>
      <c r="K294">
        <v>2</v>
      </c>
      <c r="M294">
        <v>280</v>
      </c>
      <c r="N294">
        <v>3</v>
      </c>
    </row>
    <row r="295" spans="10:14">
      <c r="J295">
        <v>281</v>
      </c>
      <c r="K295">
        <v>1</v>
      </c>
      <c r="M295">
        <v>281</v>
      </c>
      <c r="N295">
        <v>3</v>
      </c>
    </row>
    <row r="296" spans="10:14">
      <c r="J296">
        <v>282</v>
      </c>
      <c r="K296">
        <v>0</v>
      </c>
      <c r="M296">
        <v>282</v>
      </c>
      <c r="N296">
        <v>3</v>
      </c>
    </row>
    <row r="297" spans="10:14">
      <c r="J297">
        <v>283</v>
      </c>
      <c r="K297">
        <v>2</v>
      </c>
      <c r="M297">
        <v>283</v>
      </c>
      <c r="N297">
        <v>3</v>
      </c>
    </row>
    <row r="298" spans="10:14">
      <c r="J298">
        <v>284</v>
      </c>
      <c r="K298">
        <v>3</v>
      </c>
      <c r="M298">
        <v>284</v>
      </c>
      <c r="N298">
        <v>3</v>
      </c>
    </row>
    <row r="299" spans="10:14">
      <c r="J299">
        <v>285</v>
      </c>
      <c r="K299">
        <v>2</v>
      </c>
      <c r="M299">
        <v>285</v>
      </c>
      <c r="N299">
        <v>3</v>
      </c>
    </row>
    <row r="300" spans="10:14">
      <c r="J300">
        <v>286</v>
      </c>
      <c r="K300">
        <v>2</v>
      </c>
      <c r="M300">
        <v>286</v>
      </c>
      <c r="N300">
        <v>3</v>
      </c>
    </row>
    <row r="301" spans="10:14">
      <c r="J301">
        <v>287</v>
      </c>
      <c r="K301">
        <v>3</v>
      </c>
      <c r="M301">
        <v>287</v>
      </c>
      <c r="N301">
        <v>3</v>
      </c>
    </row>
    <row r="302" spans="10:14">
      <c r="J302">
        <v>288</v>
      </c>
      <c r="K302">
        <v>2</v>
      </c>
      <c r="M302">
        <v>288</v>
      </c>
      <c r="N302">
        <v>3</v>
      </c>
    </row>
    <row r="303" spans="10:14">
      <c r="J303">
        <v>289</v>
      </c>
      <c r="K303">
        <v>2</v>
      </c>
      <c r="M303">
        <v>289</v>
      </c>
      <c r="N303">
        <v>3</v>
      </c>
    </row>
    <row r="304" spans="10:14">
      <c r="J304">
        <v>290</v>
      </c>
      <c r="K304">
        <v>3</v>
      </c>
      <c r="M304">
        <v>290</v>
      </c>
      <c r="N304">
        <v>3</v>
      </c>
    </row>
    <row r="305" spans="10:14">
      <c r="J305">
        <v>291</v>
      </c>
      <c r="K305">
        <v>2</v>
      </c>
      <c r="M305">
        <v>291</v>
      </c>
      <c r="N305">
        <v>3</v>
      </c>
    </row>
    <row r="306" spans="10:14">
      <c r="J306">
        <v>292</v>
      </c>
      <c r="K306">
        <v>3</v>
      </c>
      <c r="M306">
        <v>292</v>
      </c>
      <c r="N306">
        <v>3</v>
      </c>
    </row>
    <row r="307" spans="10:14">
      <c r="J307">
        <v>293</v>
      </c>
      <c r="K307">
        <v>2</v>
      </c>
      <c r="M307">
        <v>293</v>
      </c>
      <c r="N307">
        <v>3</v>
      </c>
    </row>
    <row r="308" spans="10:14">
      <c r="J308">
        <v>294</v>
      </c>
      <c r="K308">
        <v>3</v>
      </c>
      <c r="M308">
        <v>294</v>
      </c>
      <c r="N308">
        <v>3</v>
      </c>
    </row>
    <row r="309" spans="10:14">
      <c r="J309">
        <v>295</v>
      </c>
      <c r="K309">
        <v>2</v>
      </c>
      <c r="M309">
        <v>295</v>
      </c>
      <c r="N309">
        <v>3</v>
      </c>
    </row>
    <row r="310" spans="10:14">
      <c r="J310">
        <v>296</v>
      </c>
      <c r="K310">
        <v>3</v>
      </c>
      <c r="M310">
        <v>296</v>
      </c>
      <c r="N310">
        <v>3</v>
      </c>
    </row>
    <row r="311" spans="10:14">
      <c r="J311">
        <v>297</v>
      </c>
      <c r="K311">
        <v>2</v>
      </c>
      <c r="M311">
        <v>297</v>
      </c>
      <c r="N311">
        <v>3</v>
      </c>
    </row>
    <row r="312" spans="10:14">
      <c r="J312">
        <v>298</v>
      </c>
      <c r="K312">
        <v>3</v>
      </c>
      <c r="M312">
        <v>298</v>
      </c>
      <c r="N312">
        <v>3</v>
      </c>
    </row>
    <row r="313" spans="10:14">
      <c r="J313">
        <v>299</v>
      </c>
      <c r="K313">
        <v>3</v>
      </c>
      <c r="M313">
        <v>299</v>
      </c>
      <c r="N313">
        <v>3</v>
      </c>
    </row>
    <row r="314" spans="10:14">
      <c r="J314">
        <v>300</v>
      </c>
      <c r="K314">
        <v>3</v>
      </c>
      <c r="M314">
        <v>300</v>
      </c>
      <c r="N314">
        <v>3</v>
      </c>
    </row>
    <row r="315" spans="10:14">
      <c r="J315">
        <v>301</v>
      </c>
      <c r="K315">
        <v>2</v>
      </c>
      <c r="M315">
        <v>301</v>
      </c>
      <c r="N315">
        <v>3</v>
      </c>
    </row>
    <row r="316" spans="10:14">
      <c r="J316">
        <v>302</v>
      </c>
      <c r="K316">
        <v>2</v>
      </c>
      <c r="M316">
        <v>302</v>
      </c>
      <c r="N316">
        <v>3</v>
      </c>
    </row>
    <row r="317" spans="10:14">
      <c r="J317">
        <v>303</v>
      </c>
      <c r="K317">
        <v>3</v>
      </c>
      <c r="M317">
        <v>303</v>
      </c>
      <c r="N317">
        <v>3</v>
      </c>
    </row>
    <row r="318" spans="10:14">
      <c r="J318">
        <v>304</v>
      </c>
      <c r="K318">
        <v>2</v>
      </c>
      <c r="M318">
        <v>304</v>
      </c>
      <c r="N318">
        <v>3</v>
      </c>
    </row>
    <row r="319" spans="10:14">
      <c r="J319">
        <v>305</v>
      </c>
      <c r="K319">
        <v>3</v>
      </c>
      <c r="M319">
        <v>305</v>
      </c>
      <c r="N319">
        <v>3</v>
      </c>
    </row>
    <row r="320" spans="10:14">
      <c r="J320">
        <v>306</v>
      </c>
      <c r="K320">
        <v>2</v>
      </c>
      <c r="M320">
        <v>306</v>
      </c>
      <c r="N320">
        <v>3</v>
      </c>
    </row>
    <row r="321" spans="10:14">
      <c r="J321">
        <v>307</v>
      </c>
      <c r="K321">
        <v>3</v>
      </c>
      <c r="M321">
        <v>307</v>
      </c>
      <c r="N321">
        <v>3</v>
      </c>
    </row>
    <row r="322" spans="10:14">
      <c r="J322">
        <v>308</v>
      </c>
      <c r="K322">
        <v>3</v>
      </c>
      <c r="M322">
        <v>308</v>
      </c>
      <c r="N322">
        <v>3</v>
      </c>
    </row>
    <row r="323" spans="10:14">
      <c r="J323">
        <v>309</v>
      </c>
      <c r="K323">
        <v>2</v>
      </c>
      <c r="M323">
        <v>309</v>
      </c>
      <c r="N323">
        <v>3</v>
      </c>
    </row>
    <row r="324" spans="10:14">
      <c r="J324">
        <v>310</v>
      </c>
      <c r="K324">
        <v>3</v>
      </c>
      <c r="M324">
        <v>310</v>
      </c>
      <c r="N324">
        <v>3</v>
      </c>
    </row>
    <row r="325" spans="10:14">
      <c r="J325">
        <v>311</v>
      </c>
      <c r="K325">
        <v>2</v>
      </c>
      <c r="M325">
        <v>311</v>
      </c>
      <c r="N325">
        <v>3</v>
      </c>
    </row>
    <row r="326" spans="10:14">
      <c r="J326">
        <v>312</v>
      </c>
      <c r="K326">
        <v>2</v>
      </c>
      <c r="M326">
        <v>312</v>
      </c>
      <c r="N326">
        <v>3</v>
      </c>
    </row>
    <row r="327" spans="10:14">
      <c r="J327">
        <v>313</v>
      </c>
      <c r="K327">
        <v>3</v>
      </c>
      <c r="M327">
        <v>313</v>
      </c>
      <c r="N327">
        <v>3</v>
      </c>
    </row>
    <row r="328" spans="10:14">
      <c r="J328">
        <v>314</v>
      </c>
      <c r="K328">
        <v>3</v>
      </c>
      <c r="M328">
        <v>314</v>
      </c>
      <c r="N328">
        <v>3</v>
      </c>
    </row>
    <row r="329" spans="10:14">
      <c r="J329">
        <v>315</v>
      </c>
      <c r="K329">
        <v>2</v>
      </c>
      <c r="M329">
        <v>315</v>
      </c>
      <c r="N329">
        <v>3</v>
      </c>
    </row>
    <row r="330" spans="10:14">
      <c r="J330">
        <v>316</v>
      </c>
      <c r="K330">
        <v>3</v>
      </c>
      <c r="M330">
        <v>316</v>
      </c>
      <c r="N330">
        <v>3</v>
      </c>
    </row>
    <row r="331" spans="10:14">
      <c r="J331">
        <v>317</v>
      </c>
      <c r="K331">
        <v>3</v>
      </c>
      <c r="M331">
        <v>317</v>
      </c>
      <c r="N331">
        <v>3</v>
      </c>
    </row>
    <row r="332" spans="10:14">
      <c r="J332">
        <v>318</v>
      </c>
      <c r="K332">
        <v>2</v>
      </c>
      <c r="M332">
        <v>318</v>
      </c>
      <c r="N332">
        <v>3</v>
      </c>
    </row>
    <row r="333" spans="10:14">
      <c r="J333">
        <v>319</v>
      </c>
      <c r="K333">
        <v>2</v>
      </c>
      <c r="M333">
        <v>319</v>
      </c>
      <c r="N333">
        <v>3</v>
      </c>
    </row>
    <row r="334" spans="10:14">
      <c r="J334">
        <v>320</v>
      </c>
      <c r="K334">
        <v>2</v>
      </c>
      <c r="M334">
        <v>320</v>
      </c>
      <c r="N334">
        <v>3</v>
      </c>
    </row>
    <row r="335" spans="10:14">
      <c r="J335">
        <v>321</v>
      </c>
      <c r="K335">
        <v>2</v>
      </c>
      <c r="M335">
        <v>321</v>
      </c>
      <c r="N335">
        <v>3</v>
      </c>
    </row>
    <row r="336" spans="10:14">
      <c r="J336">
        <v>322</v>
      </c>
      <c r="K336">
        <v>2</v>
      </c>
      <c r="M336">
        <v>322</v>
      </c>
      <c r="N336">
        <v>3</v>
      </c>
    </row>
    <row r="337" spans="10:14">
      <c r="J337">
        <v>323</v>
      </c>
      <c r="K337">
        <v>2</v>
      </c>
      <c r="M337">
        <v>323</v>
      </c>
      <c r="N337">
        <v>3</v>
      </c>
    </row>
    <row r="338" spans="10:14">
      <c r="J338">
        <v>324</v>
      </c>
      <c r="K338">
        <v>2</v>
      </c>
      <c r="M338">
        <v>324</v>
      </c>
      <c r="N338">
        <v>3</v>
      </c>
    </row>
    <row r="339" spans="10:14">
      <c r="J339">
        <v>325</v>
      </c>
      <c r="K339">
        <v>3</v>
      </c>
      <c r="M339">
        <v>325</v>
      </c>
      <c r="N339">
        <v>3</v>
      </c>
    </row>
    <row r="340" spans="10:14">
      <c r="J340">
        <v>326</v>
      </c>
      <c r="K340">
        <v>2</v>
      </c>
      <c r="M340">
        <v>326</v>
      </c>
      <c r="N340">
        <v>3</v>
      </c>
    </row>
    <row r="341" spans="10:14">
      <c r="J341">
        <v>327</v>
      </c>
      <c r="K341">
        <v>2</v>
      </c>
      <c r="M341">
        <v>327</v>
      </c>
      <c r="N341">
        <v>3</v>
      </c>
    </row>
    <row r="342" spans="10:14">
      <c r="J342">
        <v>328</v>
      </c>
      <c r="K342">
        <v>2</v>
      </c>
      <c r="M342">
        <v>328</v>
      </c>
      <c r="N342">
        <v>3</v>
      </c>
    </row>
    <row r="343" spans="10:14">
      <c r="J343">
        <v>329</v>
      </c>
      <c r="K343">
        <v>2</v>
      </c>
      <c r="M343">
        <v>329</v>
      </c>
      <c r="N343">
        <v>3</v>
      </c>
    </row>
    <row r="344" spans="10:14">
      <c r="J344">
        <v>330</v>
      </c>
      <c r="K344">
        <v>2</v>
      </c>
      <c r="M344">
        <v>330</v>
      </c>
      <c r="N344">
        <v>3</v>
      </c>
    </row>
    <row r="345" spans="10:14">
      <c r="J345">
        <v>331</v>
      </c>
      <c r="K345">
        <v>2</v>
      </c>
      <c r="M345">
        <v>331</v>
      </c>
      <c r="N345">
        <v>3</v>
      </c>
    </row>
    <row r="346" spans="10:14">
      <c r="J346">
        <v>332</v>
      </c>
      <c r="K346">
        <v>2</v>
      </c>
      <c r="M346">
        <v>332</v>
      </c>
      <c r="N346">
        <v>3</v>
      </c>
    </row>
    <row r="347" spans="10:14">
      <c r="J347">
        <v>333</v>
      </c>
      <c r="K347">
        <v>3</v>
      </c>
      <c r="M347">
        <v>333</v>
      </c>
      <c r="N347">
        <v>3</v>
      </c>
    </row>
    <row r="348" spans="10:14">
      <c r="J348">
        <v>334</v>
      </c>
      <c r="K348">
        <v>2</v>
      </c>
      <c r="M348">
        <v>334</v>
      </c>
      <c r="N348">
        <v>3</v>
      </c>
    </row>
    <row r="349" spans="10:14">
      <c r="J349">
        <v>335</v>
      </c>
      <c r="K349">
        <v>3</v>
      </c>
      <c r="M349">
        <v>335</v>
      </c>
      <c r="N349">
        <v>3</v>
      </c>
    </row>
    <row r="350" spans="10:14">
      <c r="J350">
        <v>336</v>
      </c>
      <c r="K350">
        <v>3</v>
      </c>
      <c r="M350">
        <v>336</v>
      </c>
      <c r="N350">
        <v>3</v>
      </c>
    </row>
    <row r="351" spans="10:14">
      <c r="J351">
        <v>337</v>
      </c>
      <c r="K351">
        <v>3</v>
      </c>
      <c r="M351">
        <v>337</v>
      </c>
      <c r="N351">
        <v>3</v>
      </c>
    </row>
    <row r="352" spans="10:14">
      <c r="J352">
        <v>338</v>
      </c>
      <c r="K352">
        <v>2</v>
      </c>
      <c r="M352">
        <v>338</v>
      </c>
      <c r="N352">
        <v>3</v>
      </c>
    </row>
    <row r="353" spans="10:14">
      <c r="J353">
        <v>339</v>
      </c>
      <c r="K353">
        <v>2</v>
      </c>
      <c r="M353">
        <v>339</v>
      </c>
      <c r="N353">
        <v>3</v>
      </c>
    </row>
    <row r="354" spans="10:14">
      <c r="J354">
        <v>340</v>
      </c>
      <c r="K354">
        <v>3</v>
      </c>
      <c r="M354">
        <v>340</v>
      </c>
      <c r="N354">
        <v>3</v>
      </c>
    </row>
    <row r="355" spans="10:14">
      <c r="J355">
        <v>341</v>
      </c>
      <c r="K355">
        <v>3</v>
      </c>
      <c r="M355">
        <v>341</v>
      </c>
      <c r="N355">
        <v>3</v>
      </c>
    </row>
    <row r="356" spans="10:14">
      <c r="J356">
        <v>342</v>
      </c>
      <c r="K356">
        <v>2</v>
      </c>
      <c r="M356">
        <v>342</v>
      </c>
      <c r="N356">
        <v>3</v>
      </c>
    </row>
    <row r="357" spans="10:14">
      <c r="J357">
        <v>343</v>
      </c>
      <c r="K357">
        <v>2</v>
      </c>
      <c r="M357">
        <v>343</v>
      </c>
      <c r="N357">
        <v>3</v>
      </c>
    </row>
    <row r="358" spans="10:14">
      <c r="J358">
        <v>344</v>
      </c>
      <c r="K358">
        <v>3</v>
      </c>
      <c r="M358">
        <v>344</v>
      </c>
      <c r="N358">
        <v>3</v>
      </c>
    </row>
    <row r="359" spans="10:14">
      <c r="J359">
        <v>345</v>
      </c>
      <c r="K359">
        <v>2</v>
      </c>
      <c r="M359">
        <v>345</v>
      </c>
      <c r="N359">
        <v>3</v>
      </c>
    </row>
    <row r="360" spans="10:14">
      <c r="J360">
        <v>346</v>
      </c>
      <c r="K360">
        <v>3</v>
      </c>
      <c r="M360">
        <v>346</v>
      </c>
      <c r="N360">
        <v>3</v>
      </c>
    </row>
    <row r="361" spans="10:14">
      <c r="J361">
        <v>347</v>
      </c>
      <c r="K361">
        <v>3</v>
      </c>
      <c r="M361">
        <v>347</v>
      </c>
      <c r="N361">
        <v>3</v>
      </c>
    </row>
    <row r="362" spans="10:14">
      <c r="J362">
        <v>348</v>
      </c>
      <c r="K362">
        <v>2</v>
      </c>
      <c r="M362">
        <v>348</v>
      </c>
      <c r="N362">
        <v>3</v>
      </c>
    </row>
    <row r="363" spans="10:14">
      <c r="J363">
        <v>349</v>
      </c>
      <c r="K363">
        <v>3</v>
      </c>
      <c r="M363">
        <v>349</v>
      </c>
      <c r="N363">
        <v>3</v>
      </c>
    </row>
    <row r="364" spans="10:14">
      <c r="J364">
        <v>350</v>
      </c>
      <c r="K364">
        <v>2</v>
      </c>
      <c r="M364">
        <v>350</v>
      </c>
      <c r="N364">
        <v>3</v>
      </c>
    </row>
    <row r="365" spans="10:14">
      <c r="J365">
        <v>351</v>
      </c>
      <c r="K365">
        <v>2</v>
      </c>
      <c r="M365">
        <v>351</v>
      </c>
      <c r="N365">
        <v>3</v>
      </c>
    </row>
    <row r="366" spans="10:14">
      <c r="J366">
        <v>352</v>
      </c>
      <c r="K366">
        <v>3</v>
      </c>
      <c r="M366">
        <v>352</v>
      </c>
      <c r="N366">
        <v>3</v>
      </c>
    </row>
    <row r="367" spans="10:14">
      <c r="J367">
        <v>353</v>
      </c>
      <c r="K367">
        <v>3</v>
      </c>
      <c r="M367">
        <v>353</v>
      </c>
      <c r="N367">
        <v>3</v>
      </c>
    </row>
    <row r="368" spans="10:14">
      <c r="J368">
        <v>354</v>
      </c>
      <c r="K368">
        <v>2</v>
      </c>
      <c r="M368">
        <v>354</v>
      </c>
      <c r="N368">
        <v>3</v>
      </c>
    </row>
    <row r="369" spans="10:14">
      <c r="J369">
        <v>355</v>
      </c>
      <c r="K369">
        <v>2</v>
      </c>
      <c r="M369">
        <v>355</v>
      </c>
      <c r="N369">
        <v>3</v>
      </c>
    </row>
    <row r="370" spans="10:14">
      <c r="J370">
        <v>356</v>
      </c>
      <c r="K370">
        <v>2</v>
      </c>
      <c r="M370">
        <v>356</v>
      </c>
      <c r="N370">
        <v>3</v>
      </c>
    </row>
    <row r="371" spans="10:14">
      <c r="J371">
        <v>357</v>
      </c>
      <c r="K371">
        <v>3</v>
      </c>
      <c r="M371">
        <v>357</v>
      </c>
      <c r="N371">
        <v>3</v>
      </c>
    </row>
    <row r="372" spans="10:14">
      <c r="J372">
        <v>358</v>
      </c>
      <c r="K372">
        <v>2</v>
      </c>
      <c r="M372">
        <v>358</v>
      </c>
      <c r="N372">
        <v>3</v>
      </c>
    </row>
    <row r="373" spans="10:14">
      <c r="J373">
        <v>359</v>
      </c>
      <c r="K373">
        <v>3</v>
      </c>
      <c r="M373">
        <v>359</v>
      </c>
      <c r="N373">
        <v>3</v>
      </c>
    </row>
    <row r="374" spans="10:14">
      <c r="J374">
        <v>360</v>
      </c>
      <c r="K374">
        <v>2</v>
      </c>
      <c r="M374">
        <v>360</v>
      </c>
      <c r="N374">
        <v>3</v>
      </c>
    </row>
    <row r="375" spans="10:14">
      <c r="J375">
        <v>361</v>
      </c>
      <c r="K375">
        <v>2</v>
      </c>
      <c r="M375">
        <v>361</v>
      </c>
      <c r="N375">
        <v>3</v>
      </c>
    </row>
    <row r="376" spans="10:14">
      <c r="J376">
        <v>362</v>
      </c>
      <c r="K376">
        <v>3</v>
      </c>
      <c r="M376">
        <v>362</v>
      </c>
      <c r="N376">
        <v>3</v>
      </c>
    </row>
    <row r="377" spans="10:14">
      <c r="J377">
        <v>363</v>
      </c>
      <c r="K377">
        <v>2</v>
      </c>
      <c r="M377">
        <v>363</v>
      </c>
      <c r="N377">
        <v>3</v>
      </c>
    </row>
    <row r="378" spans="10:14">
      <c r="J378">
        <v>364</v>
      </c>
      <c r="K378">
        <v>3</v>
      </c>
      <c r="M378">
        <v>364</v>
      </c>
      <c r="N378">
        <v>3</v>
      </c>
    </row>
    <row r="379" spans="10:14">
      <c r="J379">
        <v>365</v>
      </c>
      <c r="K379">
        <v>3</v>
      </c>
      <c r="M379">
        <v>365</v>
      </c>
      <c r="N379">
        <v>3</v>
      </c>
    </row>
    <row r="380" spans="10:14">
      <c r="J380">
        <v>366</v>
      </c>
      <c r="K380">
        <v>3</v>
      </c>
      <c r="M380">
        <v>366</v>
      </c>
      <c r="N380">
        <v>3</v>
      </c>
    </row>
    <row r="381" spans="10:14">
      <c r="J381">
        <v>367</v>
      </c>
      <c r="K381">
        <v>3</v>
      </c>
      <c r="M381">
        <v>367</v>
      </c>
      <c r="N381">
        <v>3</v>
      </c>
    </row>
    <row r="382" spans="10:14">
      <c r="J382">
        <v>368</v>
      </c>
      <c r="K382">
        <v>2</v>
      </c>
      <c r="M382">
        <v>368</v>
      </c>
      <c r="N382">
        <v>3</v>
      </c>
    </row>
    <row r="383" spans="10:14">
      <c r="J383">
        <v>369</v>
      </c>
      <c r="K383">
        <v>3</v>
      </c>
      <c r="M383">
        <v>369</v>
      </c>
      <c r="N383">
        <v>3</v>
      </c>
    </row>
    <row r="384" spans="10:14">
      <c r="J384">
        <v>370</v>
      </c>
      <c r="K384">
        <v>2</v>
      </c>
      <c r="M384">
        <v>370</v>
      </c>
      <c r="N384">
        <v>3</v>
      </c>
    </row>
    <row r="385" spans="10:14">
      <c r="J385">
        <v>371</v>
      </c>
      <c r="K385">
        <v>2</v>
      </c>
      <c r="M385">
        <v>371</v>
      </c>
      <c r="N385">
        <v>3</v>
      </c>
    </row>
    <row r="386" spans="10:14">
      <c r="J386">
        <v>372</v>
      </c>
      <c r="K386">
        <v>2</v>
      </c>
      <c r="M386">
        <v>372</v>
      </c>
      <c r="N386">
        <v>3</v>
      </c>
    </row>
    <row r="387" spans="10:14">
      <c r="J387">
        <v>373</v>
      </c>
      <c r="K387">
        <v>3</v>
      </c>
      <c r="M387">
        <v>373</v>
      </c>
      <c r="N387">
        <v>3</v>
      </c>
    </row>
    <row r="388" spans="10:14">
      <c r="J388">
        <v>374</v>
      </c>
      <c r="K388">
        <v>2</v>
      </c>
      <c r="M388">
        <v>374</v>
      </c>
      <c r="N388">
        <v>3</v>
      </c>
    </row>
    <row r="389" spans="10:14">
      <c r="J389">
        <v>375</v>
      </c>
      <c r="K389">
        <v>2</v>
      </c>
      <c r="M389">
        <v>375</v>
      </c>
      <c r="N389">
        <v>3</v>
      </c>
    </row>
    <row r="390" spans="10:14">
      <c r="J390">
        <v>376</v>
      </c>
      <c r="K390">
        <v>3</v>
      </c>
      <c r="M390">
        <v>376</v>
      </c>
      <c r="N390">
        <v>3</v>
      </c>
    </row>
    <row r="391" spans="10:14">
      <c r="J391">
        <v>377</v>
      </c>
      <c r="K391">
        <v>2</v>
      </c>
      <c r="M391">
        <v>377</v>
      </c>
      <c r="N391">
        <v>3</v>
      </c>
    </row>
    <row r="392" spans="10:14">
      <c r="J392">
        <v>378</v>
      </c>
      <c r="K392">
        <v>3</v>
      </c>
      <c r="M392">
        <v>378</v>
      </c>
      <c r="N392">
        <v>3</v>
      </c>
    </row>
    <row r="393" spans="10:14">
      <c r="J393">
        <v>379</v>
      </c>
      <c r="K393">
        <v>2</v>
      </c>
      <c r="M393">
        <v>379</v>
      </c>
      <c r="N393">
        <v>3</v>
      </c>
    </row>
    <row r="394" spans="10:14">
      <c r="J394">
        <v>380</v>
      </c>
      <c r="K394">
        <v>3</v>
      </c>
      <c r="M394">
        <v>380</v>
      </c>
      <c r="N394">
        <v>3</v>
      </c>
    </row>
    <row r="395" spans="10:14">
      <c r="J395">
        <v>381</v>
      </c>
      <c r="K395">
        <v>3</v>
      </c>
      <c r="M395">
        <v>381</v>
      </c>
      <c r="N395">
        <v>3</v>
      </c>
    </row>
    <row r="396" spans="10:14">
      <c r="J396">
        <v>382</v>
      </c>
      <c r="K396">
        <v>3</v>
      </c>
      <c r="M396">
        <v>382</v>
      </c>
      <c r="N396">
        <v>3</v>
      </c>
    </row>
    <row r="397" spans="10:14">
      <c r="J397">
        <v>383</v>
      </c>
      <c r="K397">
        <v>3</v>
      </c>
      <c r="M397">
        <v>383</v>
      </c>
      <c r="N397">
        <v>3</v>
      </c>
    </row>
    <row r="398" spans="10:14">
      <c r="J398">
        <v>384</v>
      </c>
      <c r="K398">
        <v>0</v>
      </c>
      <c r="M398">
        <v>384</v>
      </c>
      <c r="N398">
        <v>3</v>
      </c>
    </row>
    <row r="399" spans="10:14">
      <c r="J399">
        <v>385</v>
      </c>
      <c r="K399">
        <v>0</v>
      </c>
      <c r="M399">
        <v>385</v>
      </c>
      <c r="N399">
        <v>3</v>
      </c>
    </row>
    <row r="400" spans="10:14">
      <c r="J400">
        <v>386</v>
      </c>
      <c r="K400">
        <v>2</v>
      </c>
      <c r="M400">
        <v>386</v>
      </c>
      <c r="N400">
        <v>3</v>
      </c>
    </row>
    <row r="401" spans="10:14">
      <c r="J401">
        <v>387</v>
      </c>
      <c r="K401">
        <v>3</v>
      </c>
      <c r="M401">
        <v>387</v>
      </c>
      <c r="N401">
        <v>3</v>
      </c>
    </row>
    <row r="402" spans="10:14">
      <c r="J402">
        <v>388</v>
      </c>
      <c r="K402">
        <v>2</v>
      </c>
      <c r="M402">
        <v>388</v>
      </c>
      <c r="N402">
        <v>3</v>
      </c>
    </row>
    <row r="403" spans="10:14">
      <c r="J403">
        <v>389</v>
      </c>
      <c r="K403">
        <v>2</v>
      </c>
      <c r="M403">
        <v>389</v>
      </c>
      <c r="N403">
        <v>3</v>
      </c>
    </row>
    <row r="404" spans="10:14">
      <c r="J404">
        <v>390</v>
      </c>
      <c r="K404">
        <v>2</v>
      </c>
      <c r="M404">
        <v>390</v>
      </c>
      <c r="N404">
        <v>3</v>
      </c>
    </row>
    <row r="405" spans="10:14">
      <c r="J405">
        <v>391</v>
      </c>
      <c r="K405">
        <v>3</v>
      </c>
      <c r="M405">
        <v>391</v>
      </c>
      <c r="N405">
        <v>3</v>
      </c>
    </row>
    <row r="406" spans="10:14">
      <c r="J406">
        <v>392</v>
      </c>
      <c r="K406">
        <v>3</v>
      </c>
      <c r="M406">
        <v>392</v>
      </c>
      <c r="N406">
        <v>3</v>
      </c>
    </row>
    <row r="407" spans="10:14">
      <c r="J407">
        <v>393</v>
      </c>
      <c r="K407">
        <v>3</v>
      </c>
      <c r="M407">
        <v>393</v>
      </c>
      <c r="N407">
        <v>3</v>
      </c>
    </row>
    <row r="408" spans="10:14">
      <c r="J408">
        <v>394</v>
      </c>
      <c r="K408">
        <v>2</v>
      </c>
      <c r="M408">
        <v>394</v>
      </c>
      <c r="N408">
        <v>3</v>
      </c>
    </row>
    <row r="409" spans="10:14">
      <c r="J409">
        <v>395</v>
      </c>
      <c r="K409">
        <v>2</v>
      </c>
      <c r="M409">
        <v>395</v>
      </c>
      <c r="N409">
        <v>3</v>
      </c>
    </row>
    <row r="410" spans="10:14">
      <c r="J410">
        <v>396</v>
      </c>
      <c r="K410">
        <v>2</v>
      </c>
      <c r="M410">
        <v>396</v>
      </c>
      <c r="N410">
        <v>3</v>
      </c>
    </row>
    <row r="411" spans="10:14">
      <c r="J411">
        <v>397</v>
      </c>
      <c r="K411">
        <v>2</v>
      </c>
      <c r="M411">
        <v>397</v>
      </c>
      <c r="N411">
        <v>3</v>
      </c>
    </row>
    <row r="412" spans="10:14">
      <c r="J412">
        <v>398</v>
      </c>
      <c r="K412">
        <v>3</v>
      </c>
      <c r="M412">
        <v>398</v>
      </c>
      <c r="N412">
        <v>3</v>
      </c>
    </row>
    <row r="413" spans="10:14">
      <c r="J413">
        <v>399</v>
      </c>
      <c r="K413">
        <v>2</v>
      </c>
      <c r="M413">
        <v>399</v>
      </c>
      <c r="N413">
        <v>3</v>
      </c>
    </row>
    <row r="414" spans="10:14">
      <c r="J414">
        <v>400</v>
      </c>
      <c r="K414">
        <v>3</v>
      </c>
      <c r="M414">
        <v>400</v>
      </c>
      <c r="N414">
        <v>3</v>
      </c>
    </row>
    <row r="415" spans="10:14">
      <c r="J415">
        <v>401</v>
      </c>
      <c r="K415">
        <v>3</v>
      </c>
      <c r="M415">
        <v>401</v>
      </c>
      <c r="N415">
        <v>3</v>
      </c>
    </row>
    <row r="416" spans="10:14">
      <c r="J416">
        <v>402</v>
      </c>
      <c r="K416">
        <v>2</v>
      </c>
      <c r="M416">
        <v>402</v>
      </c>
      <c r="N416">
        <v>3</v>
      </c>
    </row>
    <row r="417" spans="10:14">
      <c r="J417">
        <v>403</v>
      </c>
      <c r="K417">
        <v>3</v>
      </c>
      <c r="M417">
        <v>403</v>
      </c>
      <c r="N417">
        <v>3</v>
      </c>
    </row>
    <row r="418" spans="10:14">
      <c r="J418">
        <v>404</v>
      </c>
      <c r="K418">
        <v>3</v>
      </c>
      <c r="M418">
        <v>404</v>
      </c>
      <c r="N418">
        <v>3</v>
      </c>
    </row>
    <row r="419" spans="10:14">
      <c r="J419">
        <v>405</v>
      </c>
      <c r="K419">
        <v>2</v>
      </c>
      <c r="M419">
        <v>405</v>
      </c>
      <c r="N419">
        <v>3</v>
      </c>
    </row>
    <row r="420" spans="10:14">
      <c r="J420">
        <v>406</v>
      </c>
      <c r="K420">
        <v>3</v>
      </c>
      <c r="M420">
        <v>406</v>
      </c>
      <c r="N420">
        <v>3</v>
      </c>
    </row>
    <row r="421" spans="10:14">
      <c r="J421">
        <v>407</v>
      </c>
      <c r="K421">
        <v>3</v>
      </c>
      <c r="M421">
        <v>407</v>
      </c>
      <c r="N421">
        <v>3</v>
      </c>
    </row>
    <row r="422" spans="10:14">
      <c r="J422">
        <v>408</v>
      </c>
      <c r="K422">
        <v>2</v>
      </c>
      <c r="M422">
        <v>408</v>
      </c>
      <c r="N422">
        <v>3</v>
      </c>
    </row>
    <row r="423" spans="10:14">
      <c r="J423">
        <v>409</v>
      </c>
      <c r="K423">
        <v>2</v>
      </c>
      <c r="M423">
        <v>409</v>
      </c>
      <c r="N423">
        <v>3</v>
      </c>
    </row>
    <row r="424" spans="10:14">
      <c r="J424">
        <v>410</v>
      </c>
      <c r="K424">
        <v>2</v>
      </c>
      <c r="M424">
        <v>410</v>
      </c>
      <c r="N424">
        <v>3</v>
      </c>
    </row>
    <row r="425" spans="10:14">
      <c r="J425">
        <v>411</v>
      </c>
      <c r="K425">
        <v>3</v>
      </c>
      <c r="M425">
        <v>411</v>
      </c>
      <c r="N425">
        <v>3</v>
      </c>
    </row>
    <row r="426" spans="10:14">
      <c r="J426">
        <v>412</v>
      </c>
      <c r="K426">
        <v>2</v>
      </c>
      <c r="M426">
        <v>412</v>
      </c>
      <c r="N426">
        <v>3</v>
      </c>
    </row>
    <row r="427" spans="10:14">
      <c r="J427">
        <v>413</v>
      </c>
      <c r="K427">
        <v>3</v>
      </c>
      <c r="M427">
        <v>413</v>
      </c>
      <c r="N427">
        <v>3</v>
      </c>
    </row>
    <row r="428" spans="10:14">
      <c r="J428">
        <v>414</v>
      </c>
      <c r="K428">
        <v>2</v>
      </c>
      <c r="M428">
        <v>414</v>
      </c>
      <c r="N428">
        <v>3</v>
      </c>
    </row>
    <row r="429" spans="10:14">
      <c r="J429">
        <v>415</v>
      </c>
      <c r="K429">
        <v>2</v>
      </c>
      <c r="M429">
        <v>415</v>
      </c>
      <c r="N429">
        <v>3</v>
      </c>
    </row>
    <row r="430" spans="10:14">
      <c r="J430">
        <v>416</v>
      </c>
      <c r="K430">
        <v>2</v>
      </c>
      <c r="M430">
        <v>416</v>
      </c>
      <c r="N430">
        <v>3</v>
      </c>
    </row>
    <row r="431" spans="10:14">
      <c r="J431">
        <v>417</v>
      </c>
      <c r="K431">
        <v>3</v>
      </c>
      <c r="M431">
        <v>417</v>
      </c>
      <c r="N431">
        <v>3</v>
      </c>
    </row>
    <row r="432" spans="10:14">
      <c r="J432">
        <v>418</v>
      </c>
      <c r="K432">
        <v>3</v>
      </c>
      <c r="M432">
        <v>418</v>
      </c>
      <c r="N432">
        <v>3</v>
      </c>
    </row>
    <row r="433" spans="10:14">
      <c r="J433">
        <v>419</v>
      </c>
      <c r="K433">
        <v>2</v>
      </c>
      <c r="M433">
        <v>419</v>
      </c>
      <c r="N433">
        <v>3</v>
      </c>
    </row>
    <row r="434" spans="10:14">
      <c r="J434">
        <v>420</v>
      </c>
      <c r="K434">
        <v>0</v>
      </c>
      <c r="M434">
        <v>420</v>
      </c>
      <c r="N434">
        <v>3</v>
      </c>
    </row>
    <row r="435" spans="10:14">
      <c r="J435">
        <v>421</v>
      </c>
      <c r="K435">
        <v>2</v>
      </c>
      <c r="M435">
        <v>421</v>
      </c>
      <c r="N435">
        <v>4</v>
      </c>
    </row>
    <row r="436" spans="10:14">
      <c r="J436">
        <v>422</v>
      </c>
      <c r="K436">
        <v>2</v>
      </c>
      <c r="M436">
        <v>422</v>
      </c>
      <c r="N436">
        <v>4</v>
      </c>
    </row>
    <row r="437" spans="10:14">
      <c r="J437">
        <v>423</v>
      </c>
      <c r="K437">
        <v>3</v>
      </c>
      <c r="M437">
        <v>423</v>
      </c>
      <c r="N437">
        <v>4</v>
      </c>
    </row>
    <row r="438" spans="10:14">
      <c r="J438">
        <v>424</v>
      </c>
      <c r="K438">
        <v>3</v>
      </c>
      <c r="M438">
        <v>424</v>
      </c>
      <c r="N438">
        <v>4</v>
      </c>
    </row>
    <row r="439" spans="10:14">
      <c r="J439">
        <v>425</v>
      </c>
      <c r="K439">
        <v>3</v>
      </c>
      <c r="M439">
        <v>425</v>
      </c>
      <c r="N439">
        <v>4</v>
      </c>
    </row>
    <row r="440" spans="10:14">
      <c r="J440">
        <v>426</v>
      </c>
      <c r="K440">
        <v>3</v>
      </c>
      <c r="M440">
        <v>426</v>
      </c>
      <c r="N440">
        <v>4</v>
      </c>
    </row>
    <row r="441" spans="10:14">
      <c r="J441">
        <v>427</v>
      </c>
      <c r="K441">
        <v>3</v>
      </c>
      <c r="M441">
        <v>427</v>
      </c>
      <c r="N441">
        <v>4</v>
      </c>
    </row>
    <row r="442" spans="10:14">
      <c r="J442">
        <v>428</v>
      </c>
      <c r="K442">
        <v>3</v>
      </c>
      <c r="M442">
        <v>428</v>
      </c>
      <c r="N442">
        <v>4</v>
      </c>
    </row>
    <row r="443" spans="10:14">
      <c r="J443">
        <v>429</v>
      </c>
      <c r="K443">
        <v>2</v>
      </c>
      <c r="M443">
        <v>429</v>
      </c>
      <c r="N443">
        <v>4</v>
      </c>
    </row>
    <row r="444" spans="10:14">
      <c r="J444">
        <v>430</v>
      </c>
      <c r="K444">
        <v>2</v>
      </c>
      <c r="M444">
        <v>430</v>
      </c>
      <c r="N444">
        <v>4</v>
      </c>
    </row>
    <row r="445" spans="10:14">
      <c r="J445">
        <v>431</v>
      </c>
      <c r="K445">
        <v>2</v>
      </c>
      <c r="M445">
        <v>431</v>
      </c>
      <c r="N445">
        <v>4</v>
      </c>
    </row>
    <row r="446" spans="10:14">
      <c r="J446">
        <v>432</v>
      </c>
      <c r="K446">
        <v>3</v>
      </c>
      <c r="M446">
        <v>432</v>
      </c>
      <c r="N446">
        <v>4</v>
      </c>
    </row>
    <row r="447" spans="10:14">
      <c r="J447">
        <v>433</v>
      </c>
      <c r="K447">
        <v>2</v>
      </c>
      <c r="M447">
        <v>433</v>
      </c>
      <c r="N447">
        <v>4</v>
      </c>
    </row>
    <row r="448" spans="10:14">
      <c r="J448">
        <v>434</v>
      </c>
      <c r="K448">
        <v>2</v>
      </c>
      <c r="M448">
        <v>434</v>
      </c>
      <c r="N448">
        <v>4</v>
      </c>
    </row>
    <row r="449" spans="10:14">
      <c r="J449">
        <v>435</v>
      </c>
      <c r="K449">
        <v>3</v>
      </c>
      <c r="M449">
        <v>435</v>
      </c>
      <c r="N449">
        <v>4</v>
      </c>
    </row>
    <row r="450" spans="10:14">
      <c r="J450">
        <v>436</v>
      </c>
      <c r="K450">
        <v>3</v>
      </c>
      <c r="M450">
        <v>436</v>
      </c>
      <c r="N450">
        <v>4</v>
      </c>
    </row>
    <row r="451" spans="10:14">
      <c r="J451">
        <v>437</v>
      </c>
      <c r="K451">
        <v>3</v>
      </c>
      <c r="M451">
        <v>437</v>
      </c>
      <c r="N451">
        <v>4</v>
      </c>
    </row>
    <row r="452" spans="10:14">
      <c r="J452">
        <v>438</v>
      </c>
      <c r="K452">
        <v>3</v>
      </c>
      <c r="M452">
        <v>438</v>
      </c>
      <c r="N452">
        <v>4</v>
      </c>
    </row>
    <row r="453" spans="10:14">
      <c r="J453">
        <v>439</v>
      </c>
      <c r="K453">
        <v>3</v>
      </c>
      <c r="M453">
        <v>439</v>
      </c>
      <c r="N453">
        <v>4</v>
      </c>
    </row>
    <row r="454" spans="10:14">
      <c r="J454">
        <v>440</v>
      </c>
      <c r="K454">
        <v>3</v>
      </c>
      <c r="M454">
        <v>440</v>
      </c>
      <c r="N454">
        <v>4</v>
      </c>
    </row>
    <row r="455" spans="10:14">
      <c r="J455">
        <v>441</v>
      </c>
      <c r="K455">
        <v>3</v>
      </c>
      <c r="M455">
        <v>441</v>
      </c>
      <c r="N455">
        <v>4</v>
      </c>
    </row>
    <row r="456" spans="10:14">
      <c r="J456">
        <v>442</v>
      </c>
      <c r="K456">
        <v>3</v>
      </c>
      <c r="M456">
        <v>442</v>
      </c>
      <c r="N456">
        <v>4</v>
      </c>
    </row>
    <row r="457" spans="10:14">
      <c r="J457">
        <v>443</v>
      </c>
      <c r="K457">
        <v>2</v>
      </c>
      <c r="M457">
        <v>443</v>
      </c>
      <c r="N457">
        <v>4</v>
      </c>
    </row>
    <row r="458" spans="10:14">
      <c r="J458">
        <v>444</v>
      </c>
      <c r="K458">
        <v>3</v>
      </c>
      <c r="M458">
        <v>444</v>
      </c>
      <c r="N458">
        <v>4</v>
      </c>
    </row>
    <row r="459" spans="10:14">
      <c r="J459">
        <v>445</v>
      </c>
      <c r="K459">
        <v>3</v>
      </c>
      <c r="M459">
        <v>445</v>
      </c>
      <c r="N459">
        <v>4</v>
      </c>
    </row>
    <row r="460" spans="10:14">
      <c r="J460">
        <v>446</v>
      </c>
      <c r="K460">
        <v>3</v>
      </c>
      <c r="M460">
        <v>446</v>
      </c>
      <c r="N460">
        <v>4</v>
      </c>
    </row>
    <row r="461" spans="10:14">
      <c r="J461">
        <v>447</v>
      </c>
      <c r="K461">
        <v>3</v>
      </c>
      <c r="M461">
        <v>447</v>
      </c>
      <c r="N461">
        <v>4</v>
      </c>
    </row>
    <row r="462" spans="10:14">
      <c r="J462">
        <v>448</v>
      </c>
      <c r="K462">
        <v>3</v>
      </c>
      <c r="M462">
        <v>448</v>
      </c>
      <c r="N462">
        <v>4</v>
      </c>
    </row>
    <row r="463" spans="10:14">
      <c r="J463">
        <v>449</v>
      </c>
      <c r="K463">
        <v>3</v>
      </c>
      <c r="M463">
        <v>449</v>
      </c>
      <c r="N463">
        <v>4</v>
      </c>
    </row>
    <row r="464" spans="10:14">
      <c r="J464">
        <v>450</v>
      </c>
      <c r="K464">
        <v>3</v>
      </c>
      <c r="M464">
        <v>450</v>
      </c>
      <c r="N464">
        <v>4</v>
      </c>
    </row>
    <row r="465" spans="10:14">
      <c r="J465">
        <v>451</v>
      </c>
      <c r="K465">
        <v>3</v>
      </c>
      <c r="M465">
        <v>451</v>
      </c>
      <c r="N465">
        <v>4</v>
      </c>
    </row>
    <row r="466" spans="10:14">
      <c r="J466">
        <v>452</v>
      </c>
      <c r="K466">
        <v>3</v>
      </c>
      <c r="M466">
        <v>452</v>
      </c>
      <c r="N466">
        <v>4</v>
      </c>
    </row>
    <row r="467" spans="10:14">
      <c r="J467">
        <v>453</v>
      </c>
      <c r="K467">
        <v>3</v>
      </c>
      <c r="M467">
        <v>453</v>
      </c>
      <c r="N467">
        <v>4</v>
      </c>
    </row>
    <row r="468" spans="10:14">
      <c r="J468">
        <v>454</v>
      </c>
      <c r="K468">
        <v>3</v>
      </c>
      <c r="M468">
        <v>454</v>
      </c>
      <c r="N468">
        <v>4</v>
      </c>
    </row>
    <row r="469" spans="10:14">
      <c r="J469">
        <v>455</v>
      </c>
      <c r="K469">
        <v>2</v>
      </c>
      <c r="M469">
        <v>455</v>
      </c>
      <c r="N469">
        <v>4</v>
      </c>
    </row>
    <row r="470" spans="10:14">
      <c r="J470">
        <v>456</v>
      </c>
      <c r="K470">
        <v>3</v>
      </c>
      <c r="M470">
        <v>456</v>
      </c>
      <c r="N470">
        <v>4</v>
      </c>
    </row>
    <row r="471" spans="10:14">
      <c r="J471">
        <v>457</v>
      </c>
      <c r="K471">
        <v>3</v>
      </c>
      <c r="M471">
        <v>457</v>
      </c>
      <c r="N471">
        <v>4</v>
      </c>
    </row>
    <row r="472" spans="10:14">
      <c r="J472">
        <v>458</v>
      </c>
      <c r="K472">
        <v>3</v>
      </c>
      <c r="M472">
        <v>458</v>
      </c>
      <c r="N472">
        <v>4</v>
      </c>
    </row>
    <row r="473" spans="10:14">
      <c r="J473">
        <v>459</v>
      </c>
      <c r="K473">
        <v>2</v>
      </c>
      <c r="M473">
        <v>459</v>
      </c>
      <c r="N473">
        <v>4</v>
      </c>
    </row>
    <row r="474" spans="10:14">
      <c r="J474">
        <v>460</v>
      </c>
      <c r="K474">
        <v>3</v>
      </c>
      <c r="M474">
        <v>460</v>
      </c>
      <c r="N474">
        <v>4</v>
      </c>
    </row>
    <row r="475" spans="10:14">
      <c r="J475">
        <v>461</v>
      </c>
      <c r="K475">
        <v>2</v>
      </c>
      <c r="M475">
        <v>461</v>
      </c>
      <c r="N475">
        <v>5</v>
      </c>
    </row>
    <row r="476" spans="10:14">
      <c r="J476">
        <v>462</v>
      </c>
      <c r="K476">
        <v>2</v>
      </c>
      <c r="M476">
        <v>462</v>
      </c>
      <c r="N476">
        <v>5</v>
      </c>
    </row>
    <row r="477" spans="10:14">
      <c r="J477">
        <v>463</v>
      </c>
      <c r="K477">
        <v>3</v>
      </c>
      <c r="M477">
        <v>463</v>
      </c>
      <c r="N477">
        <v>5</v>
      </c>
    </row>
    <row r="478" spans="10:14">
      <c r="J478">
        <v>464</v>
      </c>
      <c r="K478">
        <v>3</v>
      </c>
      <c r="M478">
        <v>464</v>
      </c>
      <c r="N478">
        <v>5</v>
      </c>
    </row>
    <row r="479" spans="10:14">
      <c r="J479">
        <v>465</v>
      </c>
      <c r="K479">
        <v>3</v>
      </c>
      <c r="M479">
        <v>465</v>
      </c>
      <c r="N479">
        <v>5</v>
      </c>
    </row>
    <row r="480" spans="10:14">
      <c r="J480">
        <v>466</v>
      </c>
      <c r="K480">
        <v>3</v>
      </c>
      <c r="M480">
        <v>466</v>
      </c>
      <c r="N480">
        <v>5</v>
      </c>
    </row>
    <row r="481" spans="10:14">
      <c r="J481">
        <v>467</v>
      </c>
      <c r="K481">
        <v>3</v>
      </c>
      <c r="M481">
        <v>467</v>
      </c>
      <c r="N481">
        <v>5</v>
      </c>
    </row>
    <row r="482" spans="10:14">
      <c r="J482">
        <v>468</v>
      </c>
      <c r="K482">
        <v>2</v>
      </c>
      <c r="M482">
        <v>468</v>
      </c>
      <c r="N482">
        <v>5</v>
      </c>
    </row>
    <row r="483" spans="10:14">
      <c r="J483">
        <v>469</v>
      </c>
      <c r="K483">
        <v>3</v>
      </c>
      <c r="M483">
        <v>469</v>
      </c>
      <c r="N483">
        <v>5</v>
      </c>
    </row>
    <row r="484" spans="10:14">
      <c r="J484">
        <v>470</v>
      </c>
      <c r="K484">
        <v>3</v>
      </c>
      <c r="M484">
        <v>470</v>
      </c>
      <c r="N484">
        <v>5</v>
      </c>
    </row>
    <row r="485" spans="10:14">
      <c r="J485">
        <v>471</v>
      </c>
      <c r="K485">
        <v>3</v>
      </c>
      <c r="M485">
        <v>471</v>
      </c>
      <c r="N485">
        <v>5</v>
      </c>
    </row>
    <row r="486" spans="10:14">
      <c r="J486">
        <v>472</v>
      </c>
      <c r="K486">
        <v>3</v>
      </c>
      <c r="M486">
        <v>472</v>
      </c>
      <c r="N486">
        <v>5</v>
      </c>
    </row>
    <row r="487" spans="10:14">
      <c r="J487">
        <v>473</v>
      </c>
      <c r="K487">
        <v>2</v>
      </c>
      <c r="M487">
        <v>473</v>
      </c>
      <c r="N487">
        <v>5</v>
      </c>
    </row>
    <row r="488" spans="10:14">
      <c r="J488">
        <v>474</v>
      </c>
      <c r="K488">
        <v>2</v>
      </c>
      <c r="M488">
        <v>474</v>
      </c>
      <c r="N488">
        <v>5</v>
      </c>
    </row>
    <row r="489" spans="10:14">
      <c r="J489">
        <v>475</v>
      </c>
      <c r="K489">
        <v>3</v>
      </c>
      <c r="M489">
        <v>475</v>
      </c>
      <c r="N489">
        <v>5</v>
      </c>
    </row>
    <row r="490" spans="10:14">
      <c r="J490">
        <v>476</v>
      </c>
      <c r="K490">
        <v>3</v>
      </c>
      <c r="M490">
        <v>476</v>
      </c>
      <c r="N490">
        <v>5</v>
      </c>
    </row>
    <row r="491" spans="10:14">
      <c r="J491">
        <v>477</v>
      </c>
      <c r="K491">
        <v>3</v>
      </c>
      <c r="M491">
        <v>477</v>
      </c>
      <c r="N491">
        <v>5</v>
      </c>
    </row>
    <row r="492" spans="10:14">
      <c r="J492">
        <v>478</v>
      </c>
      <c r="K492">
        <v>3</v>
      </c>
      <c r="M492">
        <v>478</v>
      </c>
      <c r="N492">
        <v>5</v>
      </c>
    </row>
    <row r="493" spans="10:14">
      <c r="J493">
        <v>479</v>
      </c>
      <c r="K493">
        <v>3</v>
      </c>
      <c r="M493">
        <v>479</v>
      </c>
      <c r="N493">
        <v>5</v>
      </c>
    </row>
    <row r="494" spans="10:14">
      <c r="J494">
        <v>480</v>
      </c>
      <c r="K494">
        <v>3</v>
      </c>
      <c r="M494">
        <v>480</v>
      </c>
      <c r="N494">
        <v>5</v>
      </c>
    </row>
    <row r="495" spans="10:14">
      <c r="J495">
        <v>481</v>
      </c>
      <c r="K495">
        <v>3</v>
      </c>
      <c r="M495">
        <v>481</v>
      </c>
      <c r="N495">
        <v>5</v>
      </c>
    </row>
    <row r="496" spans="10:14">
      <c r="J496">
        <v>482</v>
      </c>
      <c r="K496">
        <v>3</v>
      </c>
      <c r="M496">
        <v>482</v>
      </c>
      <c r="N496">
        <v>5</v>
      </c>
    </row>
    <row r="497" spans="10:14">
      <c r="J497">
        <v>483</v>
      </c>
      <c r="K497">
        <v>2</v>
      </c>
      <c r="M497">
        <v>483</v>
      </c>
      <c r="N497">
        <v>5</v>
      </c>
    </row>
    <row r="498" spans="10:14">
      <c r="J498">
        <v>484</v>
      </c>
      <c r="K498">
        <v>3</v>
      </c>
      <c r="M498">
        <v>484</v>
      </c>
      <c r="N498">
        <v>5</v>
      </c>
    </row>
    <row r="499" spans="10:14">
      <c r="J499">
        <v>485</v>
      </c>
      <c r="K499">
        <v>3</v>
      </c>
      <c r="M499">
        <v>485</v>
      </c>
      <c r="N499">
        <v>5</v>
      </c>
    </row>
    <row r="500" spans="10:14">
      <c r="J500">
        <v>486</v>
      </c>
      <c r="K500">
        <v>2</v>
      </c>
      <c r="M500">
        <v>486</v>
      </c>
      <c r="N500">
        <v>6</v>
      </c>
    </row>
    <row r="501" spans="10:14">
      <c r="J501">
        <v>487</v>
      </c>
      <c r="K501">
        <v>3</v>
      </c>
      <c r="M501">
        <v>487</v>
      </c>
      <c r="N501">
        <v>6</v>
      </c>
    </row>
    <row r="502" spans="10:14">
      <c r="J502">
        <v>488</v>
      </c>
      <c r="K502">
        <v>3</v>
      </c>
      <c r="M502">
        <v>488</v>
      </c>
      <c r="N502">
        <v>6</v>
      </c>
    </row>
    <row r="503" spans="10:14">
      <c r="J503">
        <v>489</v>
      </c>
      <c r="K503">
        <v>3</v>
      </c>
      <c r="M503">
        <v>489</v>
      </c>
      <c r="N503">
        <v>6</v>
      </c>
    </row>
    <row r="504" spans="10:14">
      <c r="J504">
        <v>490</v>
      </c>
      <c r="K504">
        <v>3</v>
      </c>
      <c r="M504">
        <v>490</v>
      </c>
      <c r="N504">
        <v>6</v>
      </c>
    </row>
    <row r="505" spans="10:14">
      <c r="J505">
        <v>491</v>
      </c>
      <c r="K505">
        <v>3</v>
      </c>
      <c r="M505">
        <v>491</v>
      </c>
      <c r="N505">
        <v>7</v>
      </c>
    </row>
    <row r="506" spans="10:14">
      <c r="J506">
        <v>492</v>
      </c>
      <c r="K506">
        <v>2</v>
      </c>
      <c r="M506">
        <v>492</v>
      </c>
      <c r="N506">
        <v>7</v>
      </c>
    </row>
    <row r="507" spans="10:14">
      <c r="J507">
        <v>493</v>
      </c>
      <c r="K507">
        <v>2</v>
      </c>
      <c r="M507">
        <v>493</v>
      </c>
      <c r="N507">
        <v>7</v>
      </c>
    </row>
    <row r="508" spans="10:14">
      <c r="J508">
        <v>494</v>
      </c>
      <c r="K508">
        <v>3</v>
      </c>
      <c r="M508">
        <v>494</v>
      </c>
      <c r="N508">
        <v>8</v>
      </c>
    </row>
    <row r="509" spans="10:14">
      <c r="J509">
        <v>495</v>
      </c>
      <c r="K509">
        <v>3</v>
      </c>
      <c r="M509">
        <v>495</v>
      </c>
      <c r="N509">
        <v>8</v>
      </c>
    </row>
    <row r="510" spans="10:14">
      <c r="J510">
        <v>496</v>
      </c>
      <c r="K510">
        <v>3</v>
      </c>
      <c r="M510">
        <v>496</v>
      </c>
      <c r="N510">
        <v>9</v>
      </c>
    </row>
    <row r="511" spans="10:14">
      <c r="J511">
        <v>497</v>
      </c>
      <c r="K511">
        <v>3</v>
      </c>
      <c r="M511">
        <v>497</v>
      </c>
      <c r="N511">
        <v>9</v>
      </c>
    </row>
    <row r="512" spans="10:14">
      <c r="J512">
        <v>498</v>
      </c>
      <c r="K512">
        <v>2</v>
      </c>
      <c r="M512">
        <v>498</v>
      </c>
      <c r="N512">
        <v>9</v>
      </c>
    </row>
    <row r="513" spans="10:14">
      <c r="J513">
        <v>499</v>
      </c>
      <c r="K513">
        <v>3</v>
      </c>
      <c r="M513">
        <v>499</v>
      </c>
      <c r="N513">
        <v>9</v>
      </c>
    </row>
    <row r="514" spans="10:14">
      <c r="J514">
        <v>500</v>
      </c>
      <c r="K514">
        <v>3</v>
      </c>
      <c r="M514">
        <v>500</v>
      </c>
      <c r="N514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FF14-77F6-4D8E-A7FD-5A6EF0CD82F3}">
  <dimension ref="A1"/>
  <sheetViews>
    <sheetView workbookViewId="0"/>
  </sheetViews>
  <sheetFormatPr defaultRowHeight="13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E94459-823A-4869-BECE-D3E7BCC003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C2589-51A9-4180-B861-07BC4CBAD473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ec10cf3e-a676-41e1-a044-da170c7ccd02"/>
    <ds:schemaRef ds:uri="http://purl.org/dc/elements/1.1/"/>
    <ds:schemaRef ds:uri="d84e4571-a221-42bf-b7fb-93635ee21df0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17FB315-62EF-445E-B12F-F8A87E674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Pharma Group AG</vt:lpstr>
      <vt:lpstr>Sheet1</vt:lpstr>
      <vt:lpstr>Backing 1</vt:lpstr>
      <vt:lpstr>Backing 2</vt:lpstr>
      <vt:lpstr>Backing 3</vt:lpstr>
      <vt:lpstr>Backing 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Di Cristo</dc:creator>
  <cp:lastModifiedBy>firdaws yahya</cp:lastModifiedBy>
  <dcterms:created xsi:type="dcterms:W3CDTF">2020-09-23T13:01:50Z</dcterms:created>
  <dcterms:modified xsi:type="dcterms:W3CDTF">2022-04-22T18:50:02Z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testReviewTimestamp">
    <vt:lpwstr/>
  </property>
  <property fmtid="{D5CDD505-2E9C-101B-9397-08002B2CF9AE}" pid="3" name="LikesCount">
    <vt:lpwstr/>
  </property>
  <property fmtid="{D5CDD505-2E9C-101B-9397-08002B2CF9AE}" pid="4" name="LatestReviewedVersion">
    <vt:lpwstr/>
  </property>
  <property fmtid="{D5CDD505-2E9C-101B-9397-08002B2CF9AE}" pid="5" name="LatestApprovedVersion">
    <vt:lpwstr/>
  </property>
  <property fmtid="{D5CDD505-2E9C-101B-9397-08002B2CF9AE}" pid="6" name="ReviewStatusNew">
    <vt:lpwstr/>
  </property>
  <property fmtid="{D5CDD505-2E9C-101B-9397-08002B2CF9AE}" pid="7" name="Ratings">
    <vt:lpwstr/>
  </property>
  <property fmtid="{D5CDD505-2E9C-101B-9397-08002B2CF9AE}" pid="8" name="LatestReview">
    <vt:lpwstr/>
  </property>
  <property fmtid="{D5CDD505-2E9C-101B-9397-08002B2CF9AE}" pid="9" name="LikedBy">
    <vt:lpwstr/>
  </property>
  <property fmtid="{D5CDD505-2E9C-101B-9397-08002B2CF9AE}" pid="10" name="LatestReviewer">
    <vt:lpwstr/>
  </property>
  <property fmtid="{D5CDD505-2E9C-101B-9397-08002B2CF9AE}" pid="11" name="MP_UserTags">
    <vt:lpwstr/>
  </property>
  <property fmtid="{D5CDD505-2E9C-101B-9397-08002B2CF9AE}" pid="12" name="MP_InheritedTags">
    <vt:lpwstr/>
  </property>
  <property fmtid="{D5CDD505-2E9C-101B-9397-08002B2CF9AE}" pid="13" name="Reviewer">
    <vt:lpwstr/>
  </property>
  <property fmtid="{D5CDD505-2E9C-101B-9397-08002B2CF9AE}" pid="14" name="Approver">
    <vt:lpwstr/>
  </property>
  <property fmtid="{D5CDD505-2E9C-101B-9397-08002B2CF9AE}" pid="15" name="LatestReviewRequestor">
    <vt:lpwstr/>
  </property>
  <property fmtid="{D5CDD505-2E9C-101B-9397-08002B2CF9AE}" pid="16" name="ReviewComment">
    <vt:lpwstr/>
  </property>
  <property fmtid="{D5CDD505-2E9C-101B-9397-08002B2CF9AE}" pid="17" name="ReviewRequestor">
    <vt:lpwstr/>
  </property>
  <property fmtid="{D5CDD505-2E9C-101B-9397-08002B2CF9AE}" pid="18" name="ApprovedVersion">
    <vt:lpwstr/>
  </property>
  <property fmtid="{D5CDD505-2E9C-101B-9397-08002B2CF9AE}" pid="19" name="RatedBy">
    <vt:lpwstr/>
  </property>
  <property fmtid="{D5CDD505-2E9C-101B-9397-08002B2CF9AE}" pid="20" name="ApproveTimestamp">
    <vt:lpwstr/>
  </property>
  <property fmtid="{D5CDD505-2E9C-101B-9397-08002B2CF9AE}" pid="21" name="ContentTypeId">
    <vt:lpwstr>0x010100CEDE67D03107854DAC131E594CAC6D84</vt:lpwstr>
  </property>
</Properties>
</file>